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0F0D052E-0B52-478B-9D15-F3F025F1C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SET" sheetId="2" r:id="rId1"/>
    <sheet name="PIVOT TABLE" sheetId="9" r:id="rId2"/>
    <sheet name="CLEANED FINAL" sheetId="7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Y280" i="2"/>
  <c r="W280" i="2" s="1"/>
  <c r="Y504" i="2"/>
  <c r="W504" i="2" s="1"/>
  <c r="Z157" i="2"/>
  <c r="Z142" i="2"/>
  <c r="Z53" i="2"/>
  <c r="Z162" i="2"/>
  <c r="Z269" i="2"/>
  <c r="Z326" i="2"/>
  <c r="Z280" i="2"/>
  <c r="Z504" i="2"/>
  <c r="Z22" i="2"/>
  <c r="Z132" i="2"/>
  <c r="Z435" i="2"/>
  <c r="Z520" i="2"/>
  <c r="Z431" i="2"/>
  <c r="Z23" i="2"/>
  <c r="Z161" i="2"/>
  <c r="Z78" i="2"/>
  <c r="Z239" i="2"/>
  <c r="Z7" i="2"/>
  <c r="Z118" i="2"/>
  <c r="Z460" i="2"/>
  <c r="Z527" i="2"/>
  <c r="Z76" i="2"/>
  <c r="Z185" i="2"/>
  <c r="Z506" i="2"/>
  <c r="Z524" i="2"/>
  <c r="Z82" i="2"/>
  <c r="Z209" i="2"/>
  <c r="Z462" i="2"/>
  <c r="Z191" i="2"/>
  <c r="Z501" i="2"/>
  <c r="Z322" i="2"/>
  <c r="Z507" i="2"/>
  <c r="Z230" i="2"/>
  <c r="Z240" i="2"/>
  <c r="Z402" i="2"/>
  <c r="Z163" i="2"/>
  <c r="Z495" i="2"/>
  <c r="Z206" i="2"/>
  <c r="Z48" i="2"/>
  <c r="Z80" i="2"/>
  <c r="Z233" i="2"/>
  <c r="Z262" i="2"/>
  <c r="Z508" i="2"/>
  <c r="Z477" i="2"/>
  <c r="Z449" i="2"/>
  <c r="Z373" i="2"/>
  <c r="Z305" i="2"/>
  <c r="Z310" i="2"/>
  <c r="Z469" i="2"/>
  <c r="Z274" i="2"/>
  <c r="Z517" i="2"/>
  <c r="Z516" i="2"/>
  <c r="Z228" i="2"/>
  <c r="Z349" i="2"/>
  <c r="Z18" i="2"/>
  <c r="Z429" i="2"/>
  <c r="Z64" i="2"/>
  <c r="Z213" i="2"/>
  <c r="Z83" i="2"/>
  <c r="Z236" i="2"/>
  <c r="Z437" i="2"/>
  <c r="Z119" i="2"/>
  <c r="Z380" i="2"/>
  <c r="Z433" i="2"/>
  <c r="Z166" i="2"/>
  <c r="Z526" i="2"/>
  <c r="Z54" i="2"/>
  <c r="Z476" i="2"/>
  <c r="Z304" i="2"/>
  <c r="Z482" i="2"/>
  <c r="Z192" i="2"/>
  <c r="Z494" i="2"/>
  <c r="Z145" i="2"/>
  <c r="Z314" i="2"/>
  <c r="Z295" i="2"/>
  <c r="Z398" i="2"/>
  <c r="Z523" i="2"/>
  <c r="Z51" i="2"/>
  <c r="Z159" i="2"/>
  <c r="Z434" i="2"/>
  <c r="Z223" i="2"/>
  <c r="Z301" i="2"/>
  <c r="Z74" i="2"/>
  <c r="Z2" i="2"/>
  <c r="Z290" i="2"/>
  <c r="Z448" i="2"/>
  <c r="Z353" i="2"/>
  <c r="Z171" i="2"/>
  <c r="Z464" i="2"/>
  <c r="Z512" i="2"/>
  <c r="Z479" i="2"/>
  <c r="Z409" i="2"/>
  <c r="Z97" i="2"/>
  <c r="Z457" i="2"/>
  <c r="Z38" i="2"/>
  <c r="Z121" i="2"/>
  <c r="Z238" i="2"/>
  <c r="Z510" i="2"/>
  <c r="Z461" i="2"/>
  <c r="Z21" i="2"/>
  <c r="Z140" i="2"/>
  <c r="Z19" i="2"/>
  <c r="Z95" i="2"/>
  <c r="Z57" i="2"/>
  <c r="Z320" i="2"/>
  <c r="Z165" i="2"/>
  <c r="Z50" i="2"/>
  <c r="Z365" i="2"/>
  <c r="Z286" i="2"/>
  <c r="Z500" i="2"/>
  <c r="Z528" i="2"/>
  <c r="Z101" i="2"/>
  <c r="Z532" i="2"/>
  <c r="Z278" i="2"/>
  <c r="Z4" i="2"/>
  <c r="Z337" i="2"/>
  <c r="Z257" i="2"/>
  <c r="Z27" i="2"/>
  <c r="Z488" i="2"/>
  <c r="Z106" i="2"/>
  <c r="Z29" i="2"/>
  <c r="Z197" i="2"/>
  <c r="Z259" i="2"/>
  <c r="Z26" i="2"/>
  <c r="Z443" i="2"/>
  <c r="Z475" i="2"/>
  <c r="Z478" i="2"/>
  <c r="Z327" i="2"/>
  <c r="Z31" i="2"/>
  <c r="Z399" i="2"/>
  <c r="Z174" i="2"/>
  <c r="Z265" i="2"/>
  <c r="Z108" i="2"/>
  <c r="Z339" i="2"/>
  <c r="Z384" i="2"/>
  <c r="Z352" i="2"/>
  <c r="Z111" i="2"/>
  <c r="Z442" i="2"/>
  <c r="Z160" i="2"/>
  <c r="Z387" i="2"/>
  <c r="Z285" i="2"/>
  <c r="Z220" i="2"/>
  <c r="Z152" i="2"/>
  <c r="Z120" i="2"/>
  <c r="Z164" i="2"/>
  <c r="Z99" i="2"/>
  <c r="Z11" i="2"/>
  <c r="Z117" i="2"/>
  <c r="Z88" i="2"/>
  <c r="Z44" i="2"/>
  <c r="Z235" i="2"/>
  <c r="Z143" i="2"/>
  <c r="Z347" i="2"/>
  <c r="Z463" i="2"/>
  <c r="Z445" i="2"/>
  <c r="Z313" i="2"/>
  <c r="Z71" i="2"/>
  <c r="Z498" i="2"/>
  <c r="Z242" i="2"/>
  <c r="Z422" i="2"/>
  <c r="Z129" i="2"/>
  <c r="Z214" i="2"/>
  <c r="Z137" i="2"/>
  <c r="Z308" i="2"/>
  <c r="Z299" i="2"/>
  <c r="Z410" i="2"/>
  <c r="Z428" i="2"/>
  <c r="Z24" i="2"/>
  <c r="Z364" i="2"/>
  <c r="Z369" i="2"/>
  <c r="Z424" i="2"/>
  <c r="Z531" i="2"/>
  <c r="Z246" i="2"/>
  <c r="Z519" i="2"/>
  <c r="Z420" i="2"/>
  <c r="Z436" i="2"/>
  <c r="Z90" i="2"/>
  <c r="Z204" i="2"/>
  <c r="Z452" i="2"/>
  <c r="Z168" i="2"/>
  <c r="Z110" i="2"/>
  <c r="Z405" i="2"/>
  <c r="Z216" i="2"/>
  <c r="Z104" i="2"/>
  <c r="Z3" i="2"/>
  <c r="Z270" i="2"/>
  <c r="Z277" i="2"/>
  <c r="Z359" i="2"/>
  <c r="Z167" i="2"/>
  <c r="Z92" i="2"/>
  <c r="Z518" i="2"/>
  <c r="Z102" i="2"/>
  <c r="Z417" i="2"/>
  <c r="Z466" i="2"/>
  <c r="Z250" i="2"/>
  <c r="Z234" i="2"/>
  <c r="Z427" i="2"/>
  <c r="Z502" i="2"/>
  <c r="Z215" i="2"/>
  <c r="Z114" i="2"/>
  <c r="Z522" i="2"/>
  <c r="Z486" i="2"/>
  <c r="Z186" i="2"/>
  <c r="Z73" i="2"/>
  <c r="Z472" i="2"/>
  <c r="Z474" i="2"/>
  <c r="Z195" i="2"/>
  <c r="Z187" i="2"/>
  <c r="Z208" i="2"/>
  <c r="Z251" i="2"/>
  <c r="Z361" i="2"/>
  <c r="Z432" i="2"/>
  <c r="Z244" i="2"/>
  <c r="Z342" i="2"/>
  <c r="Z335" i="2"/>
  <c r="Z109" i="2"/>
  <c r="Z393" i="2"/>
  <c r="Z418" i="2"/>
  <c r="Z202" i="2"/>
  <c r="Z32" i="2"/>
  <c r="Z127" i="2"/>
  <c r="Z375" i="2"/>
  <c r="Z201" i="2"/>
  <c r="Z485" i="2"/>
  <c r="Z175" i="2"/>
  <c r="Z490" i="2"/>
  <c r="Z503" i="2"/>
  <c r="Z75" i="2"/>
  <c r="Z153" i="2"/>
  <c r="Z529" i="2"/>
  <c r="Z217" i="2"/>
  <c r="Z43" i="2"/>
  <c r="Z267" i="2"/>
  <c r="Z100" i="2"/>
  <c r="Z413" i="2"/>
  <c r="Z196" i="2"/>
  <c r="Z403" i="2"/>
  <c r="Z354" i="2"/>
  <c r="Z324" i="2"/>
  <c r="Z136" i="2"/>
  <c r="Z25" i="2"/>
  <c r="Z438" i="2"/>
  <c r="Z425" i="2"/>
  <c r="Z328" i="2"/>
  <c r="Z116" i="2"/>
  <c r="Z362" i="2"/>
  <c r="Z261" i="2"/>
  <c r="Z107" i="2"/>
  <c r="Z46" i="2"/>
  <c r="Z9" i="2"/>
  <c r="Z252" i="2"/>
  <c r="Z348" i="2"/>
  <c r="Z112" i="2"/>
  <c r="Z481" i="2"/>
  <c r="Z439" i="2"/>
  <c r="Z60" i="2"/>
  <c r="Z333" i="2"/>
  <c r="Z395" i="2"/>
  <c r="Z184" i="2"/>
  <c r="Z254" i="2"/>
  <c r="Z245" i="2"/>
  <c r="Z509" i="2"/>
  <c r="Z414" i="2"/>
  <c r="Z391" i="2"/>
  <c r="Z232" i="2"/>
  <c r="Z441" i="2"/>
  <c r="Z158" i="2"/>
  <c r="Z47" i="2"/>
  <c r="Z103" i="2"/>
  <c r="Z530" i="2"/>
  <c r="Z493" i="2"/>
  <c r="Z198" i="2"/>
  <c r="Z284" i="2"/>
  <c r="Z471" i="2"/>
  <c r="Z12" i="2"/>
  <c r="Z312" i="2"/>
  <c r="Z176" i="2"/>
  <c r="Z211" i="2"/>
  <c r="Z454" i="2"/>
  <c r="Z138" i="2"/>
  <c r="Z115" i="2"/>
  <c r="Z205" i="2"/>
  <c r="Z199" i="2"/>
  <c r="Z58" i="2"/>
  <c r="Z289" i="2"/>
  <c r="Z497" i="2"/>
  <c r="Z56" i="2"/>
  <c r="Z371" i="2"/>
  <c r="Z513" i="2"/>
  <c r="Z451" i="2"/>
  <c r="Z275" i="2"/>
  <c r="Z302" i="2"/>
  <c r="Z39" i="2"/>
  <c r="Z237" i="2"/>
  <c r="Z336" i="2"/>
  <c r="Z394" i="2"/>
  <c r="Z67" i="2"/>
  <c r="Z430" i="2"/>
  <c r="Z203" i="2"/>
  <c r="Z453" i="2"/>
  <c r="Z207" i="2"/>
  <c r="Z329" i="2"/>
  <c r="Z385" i="2"/>
  <c r="Z20" i="2"/>
  <c r="Z144" i="2"/>
  <c r="Z49" i="2"/>
  <c r="Z70" i="2"/>
  <c r="Z487" i="2"/>
  <c r="Z125" i="2"/>
  <c r="Z135" i="2"/>
  <c r="Z253" i="2"/>
  <c r="Z126" i="2"/>
  <c r="Z225" i="2"/>
  <c r="Z351" i="2"/>
  <c r="Z249" i="2"/>
  <c r="Z458" i="2"/>
  <c r="Z323" i="2"/>
  <c r="Z33" i="2"/>
  <c r="Z291" i="2"/>
  <c r="Z141" i="2"/>
  <c r="Z212" i="2"/>
  <c r="Z378" i="2"/>
  <c r="Z287" i="2"/>
  <c r="Z390" i="2"/>
  <c r="Z227" i="2"/>
  <c r="Z177" i="2"/>
  <c r="Z210" i="2"/>
  <c r="Z406" i="2"/>
  <c r="Z30" i="2"/>
  <c r="Z459" i="2"/>
  <c r="Z188" i="2"/>
  <c r="Z293" i="2"/>
  <c r="Z421" i="2"/>
  <c r="Z272" i="2"/>
  <c r="Z341" i="2"/>
  <c r="Z363" i="2"/>
  <c r="Z515" i="2"/>
  <c r="Z282" i="2"/>
  <c r="Z444" i="2"/>
  <c r="Z376" i="2"/>
  <c r="Z344" i="2"/>
  <c r="Z505" i="2"/>
  <c r="Z377" i="2"/>
  <c r="Z407" i="2"/>
  <c r="Z41" i="2"/>
  <c r="Z514" i="2"/>
  <c r="Z360" i="2"/>
  <c r="Z480" i="2"/>
  <c r="Z200" i="2"/>
  <c r="Z317" i="2"/>
  <c r="Z345" i="2"/>
  <c r="Z181" i="2"/>
  <c r="Z150" i="2"/>
  <c r="Z45" i="2"/>
  <c r="Z416" i="2"/>
  <c r="Z87" i="2"/>
  <c r="Z241" i="2"/>
  <c r="Z130" i="2"/>
  <c r="Z170" i="2"/>
  <c r="Z440" i="2"/>
  <c r="Z468" i="2"/>
  <c r="Z146" i="2"/>
  <c r="Z194" i="2"/>
  <c r="Z298" i="2"/>
  <c r="Z14" i="2"/>
  <c r="Z455" i="2"/>
  <c r="Z154" i="2"/>
  <c r="Z307" i="2"/>
  <c r="Z319" i="2"/>
  <c r="Z6" i="2"/>
  <c r="Z93" i="2"/>
  <c r="Z279" i="2"/>
  <c r="Z84" i="2"/>
  <c r="Z357" i="2"/>
  <c r="Z37" i="2"/>
  <c r="Z256" i="2"/>
  <c r="Z264" i="2"/>
  <c r="Z465" i="2"/>
  <c r="Z381" i="2"/>
  <c r="Z63" i="2"/>
  <c r="Z470" i="2"/>
  <c r="Z17" i="2"/>
  <c r="Z65" i="2"/>
  <c r="Z229" i="2"/>
  <c r="Z169" i="2"/>
  <c r="Z321" i="2"/>
  <c r="Z224" i="2"/>
  <c r="Z189" i="2"/>
  <c r="Z366" i="2"/>
  <c r="Z222" i="2"/>
  <c r="Z268" i="2"/>
  <c r="Z263" i="2"/>
  <c r="Z226" i="2"/>
  <c r="Z309" i="2"/>
  <c r="Z294" i="2"/>
  <c r="Z489" i="2"/>
  <c r="Z392" i="2"/>
  <c r="Z273" i="2"/>
  <c r="Z521" i="2"/>
  <c r="Z300" i="2"/>
  <c r="Z408" i="2"/>
  <c r="Z69" i="2"/>
  <c r="Z35" i="2"/>
  <c r="Z355" i="2"/>
  <c r="Z139" i="2"/>
  <c r="Z248" i="2"/>
  <c r="Z330" i="2"/>
  <c r="Z383" i="2"/>
  <c r="Z173" i="2"/>
  <c r="Z297" i="2"/>
  <c r="Z484" i="2"/>
  <c r="Z218" i="2"/>
  <c r="Z496" i="2"/>
  <c r="Z89" i="2"/>
  <c r="Z356" i="2"/>
  <c r="Z172" i="2"/>
  <c r="Z231" i="2"/>
  <c r="Z122" i="2"/>
  <c r="Z123" i="2"/>
  <c r="Z374" i="2"/>
  <c r="Z401" i="2"/>
  <c r="Z338" i="2"/>
  <c r="Z131" i="2"/>
  <c r="Z386" i="2"/>
  <c r="Z368" i="2"/>
  <c r="Z180" i="2"/>
  <c r="Z179" i="2"/>
  <c r="Z182" i="2"/>
  <c r="Z148" i="2"/>
  <c r="Z396" i="2"/>
  <c r="Z113" i="2"/>
  <c r="Z334" i="2"/>
  <c r="Z16" i="2"/>
  <c r="Z96" i="2"/>
  <c r="Z243" i="2"/>
  <c r="Z258" i="2"/>
  <c r="Z28" i="2"/>
  <c r="Z404" i="2"/>
  <c r="Z331" i="2"/>
  <c r="Z42" i="2"/>
  <c r="Z296" i="2"/>
  <c r="Z281" i="2"/>
  <c r="Z271" i="2"/>
  <c r="Z79" i="2"/>
  <c r="Z306" i="2"/>
  <c r="Z147" i="2"/>
  <c r="Z61" i="2"/>
  <c r="Z350" i="2"/>
  <c r="Z59" i="2"/>
  <c r="Z128" i="2"/>
  <c r="Z86" i="2"/>
  <c r="Z81" i="2"/>
  <c r="Z94" i="2"/>
  <c r="Z10" i="2"/>
  <c r="Z247" i="2"/>
  <c r="Z491" i="2"/>
  <c r="Z467" i="2"/>
  <c r="Z105" i="2"/>
  <c r="Z156" i="2"/>
  <c r="Z367" i="2"/>
  <c r="Z151" i="2"/>
  <c r="Z5" i="2"/>
  <c r="Z318" i="2"/>
  <c r="Z36" i="2"/>
  <c r="Z266" i="2"/>
  <c r="Z34" i="2"/>
  <c r="Z525" i="2"/>
  <c r="Z447" i="2"/>
  <c r="Z325" i="2"/>
  <c r="Z426" i="2"/>
  <c r="Z358" i="2"/>
  <c r="Z511" i="2"/>
  <c r="Z15" i="2"/>
  <c r="Z149" i="2"/>
  <c r="Z382" i="2"/>
  <c r="Z134" i="2"/>
  <c r="Z260" i="2"/>
  <c r="Z343" i="2"/>
  <c r="Z397" i="2"/>
  <c r="Z411" i="2"/>
  <c r="Z283" i="2"/>
  <c r="Z255" i="2"/>
  <c r="Z415" i="2"/>
  <c r="Z155" i="2"/>
  <c r="Z483" i="2"/>
  <c r="Z473" i="2"/>
  <c r="Z292" i="2"/>
  <c r="Z400" i="2"/>
  <c r="Z55" i="2"/>
  <c r="Z450" i="2"/>
  <c r="Z13" i="2"/>
  <c r="Z288" i="2"/>
  <c r="Z423" i="2"/>
  <c r="Z412" i="2"/>
  <c r="Z91" i="2"/>
  <c r="Z219" i="2"/>
  <c r="Z419" i="2"/>
  <c r="Y157" i="2"/>
  <c r="W157" i="2" s="1"/>
  <c r="Y142" i="2"/>
  <c r="W142" i="2" s="1"/>
  <c r="Y269" i="2"/>
  <c r="W269" i="2" s="1"/>
  <c r="Y326" i="2"/>
  <c r="W326" i="2" s="1"/>
  <c r="Y22" i="2"/>
  <c r="W22" i="2" s="1"/>
  <c r="Y435" i="2"/>
  <c r="W435" i="2" s="1"/>
  <c r="Y370" i="2"/>
  <c r="W370" i="2" s="1"/>
  <c r="Y520" i="2"/>
  <c r="W520" i="2" s="1"/>
  <c r="Y431" i="2"/>
  <c r="W431" i="2" s="1"/>
  <c r="Y23" i="2"/>
  <c r="W23" i="2" s="1"/>
  <c r="Y161" i="2"/>
  <c r="W161" i="2" s="1"/>
  <c r="Y78" i="2"/>
  <c r="W78" i="2" s="1"/>
  <c r="Y239" i="2"/>
  <c r="W239" i="2" s="1"/>
  <c r="Y77" i="2"/>
  <c r="W77" i="2" s="1"/>
  <c r="Y7" i="2"/>
  <c r="W7" i="2" s="1"/>
  <c r="Y118" i="2"/>
  <c r="W118" i="2" s="1"/>
  <c r="Y460" i="2"/>
  <c r="W460" i="2" s="1"/>
  <c r="Y527" i="2"/>
  <c r="W527" i="2" s="1"/>
  <c r="Y76" i="2"/>
  <c r="W76" i="2" s="1"/>
  <c r="Y185" i="2"/>
  <c r="W185" i="2" s="1"/>
  <c r="Y506" i="2"/>
  <c r="W506" i="2" s="1"/>
  <c r="Y524" i="2"/>
  <c r="W524" i="2" s="1"/>
  <c r="Y82" i="2"/>
  <c r="W82" i="2" s="1"/>
  <c r="Y209" i="2"/>
  <c r="W209" i="2" s="1"/>
  <c r="Y462" i="2"/>
  <c r="W462" i="2" s="1"/>
  <c r="Y501" i="2"/>
  <c r="W501" i="2" s="1"/>
  <c r="Y322" i="2"/>
  <c r="W322" i="2" s="1"/>
  <c r="Y507" i="2"/>
  <c r="W507" i="2" s="1"/>
  <c r="Y230" i="2"/>
  <c r="W230" i="2" s="1"/>
  <c r="Y456" i="2"/>
  <c r="W456" i="2" s="1"/>
  <c r="Y240" i="2"/>
  <c r="W240" i="2" s="1"/>
  <c r="Y402" i="2"/>
  <c r="W402" i="2" s="1"/>
  <c r="Y163" i="2"/>
  <c r="W163" i="2" s="1"/>
  <c r="Y206" i="2"/>
  <c r="W206" i="2" s="1"/>
  <c r="Y48" i="2"/>
  <c r="W48" i="2" s="1"/>
  <c r="Y80" i="2"/>
  <c r="W80" i="2" s="1"/>
  <c r="Y311" i="2"/>
  <c r="W311" i="2" s="1"/>
  <c r="Y233" i="2"/>
  <c r="W233" i="2" s="1"/>
  <c r="Y262" i="2"/>
  <c r="W262" i="2" s="1"/>
  <c r="Y508" i="2"/>
  <c r="W508" i="2" s="1"/>
  <c r="Y477" i="2"/>
  <c r="W477" i="2" s="1"/>
  <c r="Y449" i="2"/>
  <c r="W449" i="2" s="1"/>
  <c r="Y373" i="2"/>
  <c r="W373" i="2" s="1"/>
  <c r="Y305" i="2"/>
  <c r="W305" i="2" s="1"/>
  <c r="Y310" i="2"/>
  <c r="W310" i="2" s="1"/>
  <c r="Y469" i="2"/>
  <c r="W469" i="2" s="1"/>
  <c r="Y274" i="2"/>
  <c r="W274" i="2" s="1"/>
  <c r="Y517" i="2"/>
  <c r="W517" i="2" s="1"/>
  <c r="Y516" i="2"/>
  <c r="W516" i="2" s="1"/>
  <c r="Y228" i="2"/>
  <c r="W228" i="2" s="1"/>
  <c r="Y349" i="2"/>
  <c r="W349" i="2" s="1"/>
  <c r="Y499" i="2"/>
  <c r="W499" i="2" s="1"/>
  <c r="Y18" i="2"/>
  <c r="W18" i="2" s="1"/>
  <c r="Y429" i="2"/>
  <c r="W429" i="2" s="1"/>
  <c r="Y64" i="2"/>
  <c r="W64" i="2" s="1"/>
  <c r="Y213" i="2"/>
  <c r="W213" i="2" s="1"/>
  <c r="Y83" i="2"/>
  <c r="W83" i="2" s="1"/>
  <c r="Y236" i="2"/>
  <c r="W236" i="2" s="1"/>
  <c r="Y437" i="2"/>
  <c r="W437" i="2" s="1"/>
  <c r="Y119" i="2"/>
  <c r="W119" i="2" s="1"/>
  <c r="Y380" i="2"/>
  <c r="W380" i="2" s="1"/>
  <c r="Y433" i="2"/>
  <c r="W433" i="2" s="1"/>
  <c r="Y166" i="2"/>
  <c r="W166" i="2" s="1"/>
  <c r="Y124" i="2"/>
  <c r="W124" i="2" s="1"/>
  <c r="Y526" i="2"/>
  <c r="W526" i="2" s="1"/>
  <c r="Y54" i="2"/>
  <c r="W54" i="2" s="1"/>
  <c r="Y476" i="2"/>
  <c r="W476" i="2" s="1"/>
  <c r="Y304" i="2"/>
  <c r="W304" i="2" s="1"/>
  <c r="Y482" i="2"/>
  <c r="W482" i="2" s="1"/>
  <c r="Y192" i="2"/>
  <c r="W192" i="2" s="1"/>
  <c r="Y494" i="2"/>
  <c r="W494" i="2" s="1"/>
  <c r="Y145" i="2"/>
  <c r="W145" i="2" s="1"/>
  <c r="Y314" i="2"/>
  <c r="W314" i="2" s="1"/>
  <c r="Y295" i="2"/>
  <c r="W295" i="2" s="1"/>
  <c r="Y398" i="2"/>
  <c r="W398" i="2" s="1"/>
  <c r="Y523" i="2"/>
  <c r="W523" i="2" s="1"/>
  <c r="Y51" i="2"/>
  <c r="W51" i="2" s="1"/>
  <c r="Y159" i="2"/>
  <c r="W159" i="2" s="1"/>
  <c r="Y434" i="2"/>
  <c r="W434" i="2" s="1"/>
  <c r="Y223" i="2"/>
  <c r="W223" i="2" s="1"/>
  <c r="Y74" i="2"/>
  <c r="W74" i="2" s="1"/>
  <c r="Y2" i="2"/>
  <c r="W2" i="2" s="1"/>
  <c r="Y290" i="2"/>
  <c r="W290" i="2" s="1"/>
  <c r="Y448" i="2"/>
  <c r="W448" i="2" s="1"/>
  <c r="Y316" i="2"/>
  <c r="W316" i="2" s="1"/>
  <c r="Y353" i="2"/>
  <c r="W353" i="2" s="1"/>
  <c r="Y171" i="2"/>
  <c r="W171" i="2" s="1"/>
  <c r="Y464" i="2"/>
  <c r="W464" i="2" s="1"/>
  <c r="Y512" i="2"/>
  <c r="W512" i="2" s="1"/>
  <c r="Y409" i="2"/>
  <c r="W409" i="2" s="1"/>
  <c r="Y97" i="2"/>
  <c r="W97" i="2" s="1"/>
  <c r="Y457" i="2"/>
  <c r="W457" i="2" s="1"/>
  <c r="Y38" i="2"/>
  <c r="W38" i="2" s="1"/>
  <c r="Y121" i="2"/>
  <c r="W121" i="2" s="1"/>
  <c r="Y238" i="2"/>
  <c r="W238" i="2" s="1"/>
  <c r="Y510" i="2"/>
  <c r="W510" i="2" s="1"/>
  <c r="Y461" i="2"/>
  <c r="W461" i="2" s="1"/>
  <c r="Y315" i="2"/>
  <c r="W315" i="2" s="1"/>
  <c r="Y21" i="2"/>
  <c r="W21" i="2" s="1"/>
  <c r="Y140" i="2"/>
  <c r="W140" i="2" s="1"/>
  <c r="Y492" i="2"/>
  <c r="W492" i="2" s="1"/>
  <c r="Y19" i="2"/>
  <c r="W19" i="2" s="1"/>
  <c r="Y95" i="2"/>
  <c r="W95" i="2" s="1"/>
  <c r="Y57" i="2"/>
  <c r="W57" i="2" s="1"/>
  <c r="Y320" i="2"/>
  <c r="W320" i="2" s="1"/>
  <c r="Y165" i="2"/>
  <c r="W165" i="2" s="1"/>
  <c r="Y50" i="2"/>
  <c r="W50" i="2" s="1"/>
  <c r="Y365" i="2"/>
  <c r="W365" i="2" s="1"/>
  <c r="Y286" i="2"/>
  <c r="W286" i="2" s="1"/>
  <c r="Y500" i="2"/>
  <c r="W500" i="2" s="1"/>
  <c r="Y528" i="2"/>
  <c r="W528" i="2" s="1"/>
  <c r="Y101" i="2"/>
  <c r="W101" i="2" s="1"/>
  <c r="Y532" i="2"/>
  <c r="W532" i="2" s="1"/>
  <c r="Y278" i="2"/>
  <c r="W278" i="2" s="1"/>
  <c r="Y4" i="2"/>
  <c r="W4" i="2" s="1"/>
  <c r="Y72" i="2"/>
  <c r="W72" i="2" s="1"/>
  <c r="Y337" i="2"/>
  <c r="W337" i="2" s="1"/>
  <c r="Y27" i="2"/>
  <c r="W27" i="2" s="1"/>
  <c r="Y488" i="2"/>
  <c r="W488" i="2" s="1"/>
  <c r="Y106" i="2"/>
  <c r="W106" i="2" s="1"/>
  <c r="Y197" i="2"/>
  <c r="W197" i="2" s="1"/>
  <c r="Y259" i="2"/>
  <c r="W259" i="2" s="1"/>
  <c r="Y26" i="2"/>
  <c r="W26" i="2" s="1"/>
  <c r="Y443" i="2"/>
  <c r="W443" i="2" s="1"/>
  <c r="Y475" i="2"/>
  <c r="W475" i="2" s="1"/>
  <c r="Y478" i="2"/>
  <c r="W478" i="2" s="1"/>
  <c r="Y327" i="2"/>
  <c r="W327" i="2" s="1"/>
  <c r="Y31" i="2"/>
  <c r="W31" i="2" s="1"/>
  <c r="Y388" i="2"/>
  <c r="W388" i="2" s="1"/>
  <c r="Y399" i="2"/>
  <c r="W399" i="2" s="1"/>
  <c r="Y174" i="2"/>
  <c r="W174" i="2" s="1"/>
  <c r="Y265" i="2"/>
  <c r="W265" i="2" s="1"/>
  <c r="Y108" i="2"/>
  <c r="W108" i="2" s="1"/>
  <c r="Y339" i="2"/>
  <c r="W339" i="2" s="1"/>
  <c r="Y40" i="2"/>
  <c r="W40" i="2" s="1"/>
  <c r="Y384" i="2"/>
  <c r="W384" i="2" s="1"/>
  <c r="Y352" i="2"/>
  <c r="W352" i="2" s="1"/>
  <c r="Y111" i="2"/>
  <c r="W111" i="2" s="1"/>
  <c r="Y442" i="2"/>
  <c r="W442" i="2" s="1"/>
  <c r="Y160" i="2"/>
  <c r="W160" i="2" s="1"/>
  <c r="Y387" i="2"/>
  <c r="W387" i="2" s="1"/>
  <c r="Y285" i="2"/>
  <c r="W285" i="2" s="1"/>
  <c r="Y220" i="2"/>
  <c r="W220" i="2" s="1"/>
  <c r="Y152" i="2"/>
  <c r="W152" i="2" s="1"/>
  <c r="Y120" i="2"/>
  <c r="W120" i="2" s="1"/>
  <c r="Y164" i="2"/>
  <c r="W164" i="2" s="1"/>
  <c r="Y99" i="2"/>
  <c r="W99" i="2" s="1"/>
  <c r="Y11" i="2"/>
  <c r="W11" i="2" s="1"/>
  <c r="Y117" i="2"/>
  <c r="W117" i="2" s="1"/>
  <c r="Y88" i="2"/>
  <c r="W88" i="2" s="1"/>
  <c r="Y44" i="2"/>
  <c r="W44" i="2" s="1"/>
  <c r="Y235" i="2"/>
  <c r="W235" i="2" s="1"/>
  <c r="Y143" i="2"/>
  <c r="W143" i="2" s="1"/>
  <c r="Y347" i="2"/>
  <c r="W347" i="2" s="1"/>
  <c r="Y463" i="2"/>
  <c r="W463" i="2" s="1"/>
  <c r="Y445" i="2"/>
  <c r="W445" i="2" s="1"/>
  <c r="Y313" i="2"/>
  <c r="W313" i="2" s="1"/>
  <c r="Y71" i="2"/>
  <c r="W71" i="2" s="1"/>
  <c r="Y498" i="2"/>
  <c r="W498" i="2" s="1"/>
  <c r="Y242" i="2"/>
  <c r="W242" i="2" s="1"/>
  <c r="Y422" i="2"/>
  <c r="W422" i="2" s="1"/>
  <c r="Y129" i="2"/>
  <c r="W129" i="2" s="1"/>
  <c r="Y214" i="2"/>
  <c r="W214" i="2" s="1"/>
  <c r="Y62" i="2"/>
  <c r="W62" i="2" s="1"/>
  <c r="Y137" i="2"/>
  <c r="W137" i="2" s="1"/>
  <c r="Y308" i="2"/>
  <c r="W308" i="2" s="1"/>
  <c r="Y299" i="2"/>
  <c r="W299" i="2" s="1"/>
  <c r="Y410" i="2"/>
  <c r="W410" i="2" s="1"/>
  <c r="Y428" i="2"/>
  <c r="W428" i="2" s="1"/>
  <c r="Y24" i="2"/>
  <c r="W24" i="2" s="1"/>
  <c r="Y364" i="2"/>
  <c r="W364" i="2" s="1"/>
  <c r="Y369" i="2"/>
  <c r="W369" i="2" s="1"/>
  <c r="Y424" i="2"/>
  <c r="W424" i="2" s="1"/>
  <c r="Y531" i="2"/>
  <c r="W531" i="2" s="1"/>
  <c r="Y246" i="2"/>
  <c r="W246" i="2" s="1"/>
  <c r="Y519" i="2"/>
  <c r="W519" i="2" s="1"/>
  <c r="Y420" i="2"/>
  <c r="W420" i="2" s="1"/>
  <c r="Y436" i="2"/>
  <c r="W436" i="2" s="1"/>
  <c r="Y90" i="2"/>
  <c r="W90" i="2" s="1"/>
  <c r="Y372" i="2"/>
  <c r="W372" i="2" s="1"/>
  <c r="Y204" i="2"/>
  <c r="W204" i="2" s="1"/>
  <c r="Y452" i="2"/>
  <c r="W452" i="2" s="1"/>
  <c r="Y168" i="2"/>
  <c r="W168" i="2" s="1"/>
  <c r="Y110" i="2"/>
  <c r="W110" i="2" s="1"/>
  <c r="Y405" i="2"/>
  <c r="W405" i="2" s="1"/>
  <c r="Y216" i="2"/>
  <c r="W216" i="2" s="1"/>
  <c r="Y104" i="2"/>
  <c r="W104" i="2" s="1"/>
  <c r="Y3" i="2"/>
  <c r="W3" i="2" s="1"/>
  <c r="Y270" i="2"/>
  <c r="W270" i="2" s="1"/>
  <c r="Y277" i="2"/>
  <c r="W277" i="2" s="1"/>
  <c r="Y359" i="2"/>
  <c r="W359" i="2" s="1"/>
  <c r="Y167" i="2"/>
  <c r="W167" i="2" s="1"/>
  <c r="Y389" i="2"/>
  <c r="W389" i="2" s="1"/>
  <c r="Y92" i="2"/>
  <c r="W92" i="2" s="1"/>
  <c r="Y518" i="2"/>
  <c r="W518" i="2" s="1"/>
  <c r="Y102" i="2"/>
  <c r="W102" i="2" s="1"/>
  <c r="Y417" i="2"/>
  <c r="W417" i="2" s="1"/>
  <c r="Y466" i="2"/>
  <c r="W466" i="2" s="1"/>
  <c r="Y250" i="2"/>
  <c r="W250" i="2" s="1"/>
  <c r="Y234" i="2"/>
  <c r="W234" i="2" s="1"/>
  <c r="Y427" i="2"/>
  <c r="W427" i="2" s="1"/>
  <c r="Y502" i="2"/>
  <c r="W502" i="2" s="1"/>
  <c r="Y215" i="2"/>
  <c r="W215" i="2" s="1"/>
  <c r="Y114" i="2"/>
  <c r="W114" i="2" s="1"/>
  <c r="Y522" i="2"/>
  <c r="W522" i="2" s="1"/>
  <c r="Y486" i="2"/>
  <c r="W486" i="2" s="1"/>
  <c r="Y186" i="2"/>
  <c r="W186" i="2" s="1"/>
  <c r="Y73" i="2"/>
  <c r="W73" i="2" s="1"/>
  <c r="Y472" i="2"/>
  <c r="W472" i="2" s="1"/>
  <c r="Y474" i="2"/>
  <c r="W474" i="2" s="1"/>
  <c r="Y195" i="2"/>
  <c r="W195" i="2" s="1"/>
  <c r="Y187" i="2"/>
  <c r="W187" i="2" s="1"/>
  <c r="Y208" i="2"/>
  <c r="W208" i="2" s="1"/>
  <c r="Y251" i="2"/>
  <c r="W251" i="2" s="1"/>
  <c r="Y432" i="2"/>
  <c r="W432" i="2" s="1"/>
  <c r="Y244" i="2"/>
  <c r="W244" i="2" s="1"/>
  <c r="Y342" i="2"/>
  <c r="W342" i="2" s="1"/>
  <c r="Y335" i="2"/>
  <c r="W335" i="2" s="1"/>
  <c r="Y109" i="2"/>
  <c r="W109" i="2" s="1"/>
  <c r="Y393" i="2"/>
  <c r="W393" i="2" s="1"/>
  <c r="Y418" i="2"/>
  <c r="W418" i="2" s="1"/>
  <c r="Y202" i="2"/>
  <c r="W202" i="2" s="1"/>
  <c r="Y32" i="2"/>
  <c r="W32" i="2" s="1"/>
  <c r="Y375" i="2"/>
  <c r="W375" i="2" s="1"/>
  <c r="Y201" i="2"/>
  <c r="W201" i="2" s="1"/>
  <c r="Y485" i="2"/>
  <c r="W485" i="2" s="1"/>
  <c r="Y175" i="2"/>
  <c r="W175" i="2" s="1"/>
  <c r="Y490" i="2"/>
  <c r="W490" i="2" s="1"/>
  <c r="Y503" i="2"/>
  <c r="W503" i="2" s="1"/>
  <c r="Y75" i="2"/>
  <c r="W75" i="2" s="1"/>
  <c r="Y153" i="2"/>
  <c r="W153" i="2" s="1"/>
  <c r="Y529" i="2"/>
  <c r="W529" i="2" s="1"/>
  <c r="Y217" i="2"/>
  <c r="W217" i="2" s="1"/>
  <c r="Y43" i="2"/>
  <c r="W43" i="2" s="1"/>
  <c r="Y267" i="2"/>
  <c r="W267" i="2" s="1"/>
  <c r="Y100" i="2"/>
  <c r="W100" i="2" s="1"/>
  <c r="Y413" i="2"/>
  <c r="W413" i="2" s="1"/>
  <c r="Y196" i="2"/>
  <c r="W196" i="2" s="1"/>
  <c r="Y403" i="2"/>
  <c r="W403" i="2" s="1"/>
  <c r="Y354" i="2"/>
  <c r="W354" i="2" s="1"/>
  <c r="Y324" i="2"/>
  <c r="W324" i="2" s="1"/>
  <c r="Y136" i="2"/>
  <c r="W136" i="2" s="1"/>
  <c r="Y25" i="2"/>
  <c r="W25" i="2" s="1"/>
  <c r="Y438" i="2"/>
  <c r="W438" i="2" s="1"/>
  <c r="Y425" i="2"/>
  <c r="W425" i="2" s="1"/>
  <c r="Y328" i="2"/>
  <c r="W328" i="2" s="1"/>
  <c r="Y116" i="2"/>
  <c r="W116" i="2" s="1"/>
  <c r="Y362" i="2"/>
  <c r="W362" i="2" s="1"/>
  <c r="Y261" i="2"/>
  <c r="W261" i="2" s="1"/>
  <c r="Y107" i="2"/>
  <c r="W107" i="2" s="1"/>
  <c r="Y46" i="2"/>
  <c r="W46" i="2" s="1"/>
  <c r="Y9" i="2"/>
  <c r="W9" i="2" s="1"/>
  <c r="Y252" i="2"/>
  <c r="W252" i="2" s="1"/>
  <c r="Y348" i="2"/>
  <c r="W348" i="2" s="1"/>
  <c r="Y112" i="2"/>
  <c r="W112" i="2" s="1"/>
  <c r="Y481" i="2"/>
  <c r="W481" i="2" s="1"/>
  <c r="Y439" i="2"/>
  <c r="W439" i="2" s="1"/>
  <c r="Y60" i="2"/>
  <c r="W60" i="2" s="1"/>
  <c r="Y333" i="2"/>
  <c r="W333" i="2" s="1"/>
  <c r="Y395" i="2"/>
  <c r="W395" i="2" s="1"/>
  <c r="Y184" i="2"/>
  <c r="W184" i="2" s="1"/>
  <c r="Y245" i="2"/>
  <c r="W245" i="2" s="1"/>
  <c r="Y509" i="2"/>
  <c r="W509" i="2" s="1"/>
  <c r="Y414" i="2"/>
  <c r="W414" i="2" s="1"/>
  <c r="Y391" i="2"/>
  <c r="W391" i="2" s="1"/>
  <c r="Y232" i="2"/>
  <c r="W232" i="2" s="1"/>
  <c r="Y158" i="2"/>
  <c r="W158" i="2" s="1"/>
  <c r="Y47" i="2"/>
  <c r="W47" i="2" s="1"/>
  <c r="Y103" i="2"/>
  <c r="W103" i="2" s="1"/>
  <c r="Y530" i="2"/>
  <c r="W530" i="2" s="1"/>
  <c r="Y493" i="2"/>
  <c r="W493" i="2" s="1"/>
  <c r="Y198" i="2"/>
  <c r="W198" i="2" s="1"/>
  <c r="Y284" i="2"/>
  <c r="W284" i="2" s="1"/>
  <c r="Y471" i="2"/>
  <c r="W471" i="2" s="1"/>
  <c r="Y12" i="2"/>
  <c r="W12" i="2" s="1"/>
  <c r="Y312" i="2"/>
  <c r="W312" i="2" s="1"/>
  <c r="Y176" i="2"/>
  <c r="W176" i="2" s="1"/>
  <c r="Y211" i="2"/>
  <c r="W211" i="2" s="1"/>
  <c r="Y454" i="2"/>
  <c r="W454" i="2" s="1"/>
  <c r="Y138" i="2"/>
  <c r="W138" i="2" s="1"/>
  <c r="Y115" i="2"/>
  <c r="W115" i="2" s="1"/>
  <c r="Y199" i="2"/>
  <c r="W199" i="2" s="1"/>
  <c r="Y58" i="2"/>
  <c r="W58" i="2" s="1"/>
  <c r="Y289" i="2"/>
  <c r="W289" i="2" s="1"/>
  <c r="Y497" i="2"/>
  <c r="W497" i="2" s="1"/>
  <c r="Y56" i="2"/>
  <c r="W56" i="2" s="1"/>
  <c r="Y371" i="2"/>
  <c r="W371" i="2" s="1"/>
  <c r="Y513" i="2"/>
  <c r="W513" i="2" s="1"/>
  <c r="Y451" i="2"/>
  <c r="W451" i="2" s="1"/>
  <c r="Y275" i="2"/>
  <c r="W275" i="2" s="1"/>
  <c r="Y302" i="2"/>
  <c r="W302" i="2" s="1"/>
  <c r="Y39" i="2"/>
  <c r="W39" i="2" s="1"/>
  <c r="Y237" i="2"/>
  <c r="W237" i="2" s="1"/>
  <c r="Y52" i="2"/>
  <c r="W52" i="2" s="1"/>
  <c r="Y336" i="2"/>
  <c r="W336" i="2" s="1"/>
  <c r="Y394" i="2"/>
  <c r="W394" i="2" s="1"/>
  <c r="Y67" i="2"/>
  <c r="W67" i="2" s="1"/>
  <c r="Y430" i="2"/>
  <c r="W430" i="2" s="1"/>
  <c r="Y203" i="2"/>
  <c r="W203" i="2" s="1"/>
  <c r="Y453" i="2"/>
  <c r="W453" i="2" s="1"/>
  <c r="Y207" i="2"/>
  <c r="W207" i="2" s="1"/>
  <c r="Y329" i="2"/>
  <c r="W329" i="2" s="1"/>
  <c r="Y332" i="2"/>
  <c r="W332" i="2" s="1"/>
  <c r="Y385" i="2"/>
  <c r="W385" i="2" s="1"/>
  <c r="Y20" i="2"/>
  <c r="W20" i="2" s="1"/>
  <c r="Y144" i="2"/>
  <c r="W144" i="2" s="1"/>
  <c r="Y49" i="2"/>
  <c r="W49" i="2" s="1"/>
  <c r="Y70" i="2"/>
  <c r="W70" i="2" s="1"/>
  <c r="Y487" i="2"/>
  <c r="W487" i="2" s="1"/>
  <c r="Y125" i="2"/>
  <c r="W125" i="2" s="1"/>
  <c r="Y135" i="2"/>
  <c r="W135" i="2" s="1"/>
  <c r="Y253" i="2"/>
  <c r="W253" i="2" s="1"/>
  <c r="Y126" i="2"/>
  <c r="W126" i="2" s="1"/>
  <c r="Y225" i="2"/>
  <c r="W225" i="2" s="1"/>
  <c r="Y351" i="2"/>
  <c r="W351" i="2" s="1"/>
  <c r="Y249" i="2"/>
  <c r="W249" i="2" s="1"/>
  <c r="Y458" i="2"/>
  <c r="W458" i="2" s="1"/>
  <c r="Y323" i="2"/>
  <c r="W323" i="2" s="1"/>
  <c r="Y33" i="2"/>
  <c r="W33" i="2" s="1"/>
  <c r="Y291" i="2"/>
  <c r="W291" i="2" s="1"/>
  <c r="Y141" i="2"/>
  <c r="W141" i="2" s="1"/>
  <c r="Y212" i="2"/>
  <c r="W212" i="2" s="1"/>
  <c r="Y287" i="2"/>
  <c r="W287" i="2" s="1"/>
  <c r="Y390" i="2"/>
  <c r="W390" i="2" s="1"/>
  <c r="Y227" i="2"/>
  <c r="W227" i="2" s="1"/>
  <c r="Y190" i="2"/>
  <c r="W190" i="2" s="1"/>
  <c r="Y177" i="2"/>
  <c r="W177" i="2" s="1"/>
  <c r="Y210" i="2"/>
  <c r="W210" i="2" s="1"/>
  <c r="Y406" i="2"/>
  <c r="W406" i="2" s="1"/>
  <c r="Y30" i="2"/>
  <c r="W30" i="2" s="1"/>
  <c r="Y188" i="2"/>
  <c r="W188" i="2" s="1"/>
  <c r="Y293" i="2"/>
  <c r="W293" i="2" s="1"/>
  <c r="Y421" i="2"/>
  <c r="W421" i="2" s="1"/>
  <c r="Y272" i="2"/>
  <c r="W272" i="2" s="1"/>
  <c r="Y341" i="2"/>
  <c r="W341" i="2" s="1"/>
  <c r="Y363" i="2"/>
  <c r="W363" i="2" s="1"/>
  <c r="Y515" i="2"/>
  <c r="W515" i="2" s="1"/>
  <c r="Y282" i="2"/>
  <c r="W282" i="2" s="1"/>
  <c r="Y444" i="2"/>
  <c r="W444" i="2" s="1"/>
  <c r="Y376" i="2"/>
  <c r="W376" i="2" s="1"/>
  <c r="Y344" i="2"/>
  <c r="W344" i="2" s="1"/>
  <c r="Y505" i="2"/>
  <c r="W505" i="2" s="1"/>
  <c r="Y377" i="2"/>
  <c r="W377" i="2" s="1"/>
  <c r="Y407" i="2"/>
  <c r="W407" i="2" s="1"/>
  <c r="Y41" i="2"/>
  <c r="W41" i="2" s="1"/>
  <c r="Y514" i="2"/>
  <c r="W514" i="2" s="1"/>
  <c r="Y360" i="2"/>
  <c r="W360" i="2" s="1"/>
  <c r="Y480" i="2"/>
  <c r="W480" i="2" s="1"/>
  <c r="Y200" i="2"/>
  <c r="W200" i="2" s="1"/>
  <c r="Y317" i="2"/>
  <c r="W317" i="2" s="1"/>
  <c r="Y345" i="2"/>
  <c r="W345" i="2" s="1"/>
  <c r="Y181" i="2"/>
  <c r="W181" i="2" s="1"/>
  <c r="Y150" i="2"/>
  <c r="W150" i="2" s="1"/>
  <c r="Y45" i="2"/>
  <c r="W45" i="2" s="1"/>
  <c r="Y416" i="2"/>
  <c r="W416" i="2" s="1"/>
  <c r="Y87" i="2"/>
  <c r="W87" i="2" s="1"/>
  <c r="Y241" i="2"/>
  <c r="W241" i="2" s="1"/>
  <c r="Y130" i="2"/>
  <c r="W130" i="2" s="1"/>
  <c r="Y170" i="2"/>
  <c r="W170" i="2" s="1"/>
  <c r="Y440" i="2"/>
  <c r="W440" i="2" s="1"/>
  <c r="Y468" i="2"/>
  <c r="W468" i="2" s="1"/>
  <c r="Y146" i="2"/>
  <c r="W146" i="2" s="1"/>
  <c r="Y194" i="2"/>
  <c r="W194" i="2" s="1"/>
  <c r="Y298" i="2"/>
  <c r="W298" i="2" s="1"/>
  <c r="Y14" i="2"/>
  <c r="W14" i="2" s="1"/>
  <c r="Y455" i="2"/>
  <c r="W455" i="2" s="1"/>
  <c r="Y154" i="2"/>
  <c r="W154" i="2" s="1"/>
  <c r="Y307" i="2"/>
  <c r="W307" i="2" s="1"/>
  <c r="Y319" i="2"/>
  <c r="W319" i="2" s="1"/>
  <c r="Y6" i="2"/>
  <c r="W6" i="2" s="1"/>
  <c r="Y93" i="2"/>
  <c r="W93" i="2" s="1"/>
  <c r="Y279" i="2"/>
  <c r="W279" i="2" s="1"/>
  <c r="Y84" i="2"/>
  <c r="W84" i="2" s="1"/>
  <c r="Y357" i="2"/>
  <c r="W357" i="2" s="1"/>
  <c r="Y37" i="2"/>
  <c r="W37" i="2" s="1"/>
  <c r="Y256" i="2"/>
  <c r="W256" i="2" s="1"/>
  <c r="Y264" i="2"/>
  <c r="W264" i="2" s="1"/>
  <c r="Y465" i="2"/>
  <c r="W465" i="2" s="1"/>
  <c r="Y381" i="2"/>
  <c r="W381" i="2" s="1"/>
  <c r="Y63" i="2"/>
  <c r="W63" i="2" s="1"/>
  <c r="Y470" i="2"/>
  <c r="W470" i="2" s="1"/>
  <c r="Y17" i="2"/>
  <c r="W17" i="2" s="1"/>
  <c r="Y65" i="2"/>
  <c r="W65" i="2" s="1"/>
  <c r="Y169" i="2"/>
  <c r="W169" i="2" s="1"/>
  <c r="Y321" i="2"/>
  <c r="W321" i="2" s="1"/>
  <c r="Y224" i="2"/>
  <c r="W224" i="2" s="1"/>
  <c r="Y189" i="2"/>
  <c r="W189" i="2" s="1"/>
  <c r="Y366" i="2"/>
  <c r="W366" i="2" s="1"/>
  <c r="Y222" i="2"/>
  <c r="W222" i="2" s="1"/>
  <c r="Y268" i="2"/>
  <c r="W268" i="2" s="1"/>
  <c r="Y263" i="2"/>
  <c r="W263" i="2" s="1"/>
  <c r="Y226" i="2"/>
  <c r="W226" i="2" s="1"/>
  <c r="Y346" i="2"/>
  <c r="W346" i="2" s="1"/>
  <c r="Y309" i="2"/>
  <c r="W309" i="2" s="1"/>
  <c r="Y294" i="2"/>
  <c r="W294" i="2" s="1"/>
  <c r="Y489" i="2"/>
  <c r="W489" i="2" s="1"/>
  <c r="Y392" i="2"/>
  <c r="W392" i="2" s="1"/>
  <c r="Y273" i="2"/>
  <c r="W273" i="2" s="1"/>
  <c r="Y193" i="2"/>
  <c r="W193" i="2" s="1"/>
  <c r="Y521" i="2"/>
  <c r="W521" i="2" s="1"/>
  <c r="Y300" i="2"/>
  <c r="W300" i="2" s="1"/>
  <c r="Y408" i="2"/>
  <c r="W408" i="2" s="1"/>
  <c r="Y276" i="2"/>
  <c r="W276" i="2" s="1"/>
  <c r="Y69" i="2"/>
  <c r="W69" i="2" s="1"/>
  <c r="Y35" i="2"/>
  <c r="W35" i="2" s="1"/>
  <c r="Y355" i="2"/>
  <c r="W355" i="2" s="1"/>
  <c r="Y139" i="2"/>
  <c r="W139" i="2" s="1"/>
  <c r="Y248" i="2"/>
  <c r="W248" i="2" s="1"/>
  <c r="Y330" i="2"/>
  <c r="W330" i="2" s="1"/>
  <c r="Y173" i="2"/>
  <c r="W173" i="2" s="1"/>
  <c r="Y297" i="2"/>
  <c r="W297" i="2" s="1"/>
  <c r="Y484" i="2"/>
  <c r="W484" i="2" s="1"/>
  <c r="Y218" i="2"/>
  <c r="W218" i="2" s="1"/>
  <c r="Y183" i="2"/>
  <c r="W183" i="2" s="1"/>
  <c r="Y496" i="2"/>
  <c r="W496" i="2" s="1"/>
  <c r="Y89" i="2"/>
  <c r="W89" i="2" s="1"/>
  <c r="Y356" i="2"/>
  <c r="W356" i="2" s="1"/>
  <c r="Y172" i="2"/>
  <c r="W172" i="2" s="1"/>
  <c r="Y231" i="2"/>
  <c r="W231" i="2" s="1"/>
  <c r="Y122" i="2"/>
  <c r="W122" i="2" s="1"/>
  <c r="Y123" i="2"/>
  <c r="W123" i="2" s="1"/>
  <c r="Y374" i="2"/>
  <c r="W374" i="2" s="1"/>
  <c r="Y133" i="2"/>
  <c r="W133" i="2" s="1"/>
  <c r="Y401" i="2"/>
  <c r="W401" i="2" s="1"/>
  <c r="Y338" i="2"/>
  <c r="W338" i="2" s="1"/>
  <c r="Y303" i="2"/>
  <c r="W303" i="2" s="1"/>
  <c r="Y131" i="2"/>
  <c r="W131" i="2" s="1"/>
  <c r="Y386" i="2"/>
  <c r="W386" i="2" s="1"/>
  <c r="Y85" i="2"/>
  <c r="W85" i="2" s="1"/>
  <c r="Y368" i="2"/>
  <c r="W368" i="2" s="1"/>
  <c r="Y180" i="2"/>
  <c r="W180" i="2" s="1"/>
  <c r="Y179" i="2"/>
  <c r="W179" i="2" s="1"/>
  <c r="Y182" i="2"/>
  <c r="W182" i="2" s="1"/>
  <c r="Y148" i="2"/>
  <c r="W148" i="2" s="1"/>
  <c r="Y396" i="2"/>
  <c r="W396" i="2" s="1"/>
  <c r="Y113" i="2"/>
  <c r="W113" i="2" s="1"/>
  <c r="Y334" i="2"/>
  <c r="W334" i="2" s="1"/>
  <c r="Y16" i="2"/>
  <c r="W16" i="2" s="1"/>
  <c r="Y96" i="2"/>
  <c r="W96" i="2" s="1"/>
  <c r="Y243" i="2"/>
  <c r="W243" i="2" s="1"/>
  <c r="Y258" i="2"/>
  <c r="W258" i="2" s="1"/>
  <c r="Y28" i="2"/>
  <c r="W28" i="2" s="1"/>
  <c r="Y404" i="2"/>
  <c r="W404" i="2" s="1"/>
  <c r="Y331" i="2"/>
  <c r="W331" i="2" s="1"/>
  <c r="Y42" i="2"/>
  <c r="W42" i="2" s="1"/>
  <c r="Y296" i="2"/>
  <c r="W296" i="2" s="1"/>
  <c r="Y281" i="2"/>
  <c r="W281" i="2" s="1"/>
  <c r="Y271" i="2"/>
  <c r="W271" i="2" s="1"/>
  <c r="Y79" i="2"/>
  <c r="W79" i="2" s="1"/>
  <c r="Y306" i="2"/>
  <c r="W306" i="2" s="1"/>
  <c r="Y147" i="2"/>
  <c r="W147" i="2" s="1"/>
  <c r="Y61" i="2"/>
  <c r="W61" i="2" s="1"/>
  <c r="Y350" i="2"/>
  <c r="W350" i="2" s="1"/>
  <c r="Y59" i="2"/>
  <c r="W59" i="2" s="1"/>
  <c r="Y379" i="2"/>
  <c r="W379" i="2" s="1"/>
  <c r="Y128" i="2"/>
  <c r="W128" i="2" s="1"/>
  <c r="Y86" i="2"/>
  <c r="W86" i="2" s="1"/>
  <c r="Y81" i="2"/>
  <c r="W81" i="2" s="1"/>
  <c r="Y94" i="2"/>
  <c r="W94" i="2" s="1"/>
  <c r="Y10" i="2"/>
  <c r="W10" i="2" s="1"/>
  <c r="Y247" i="2"/>
  <c r="W247" i="2" s="1"/>
  <c r="Y491" i="2"/>
  <c r="W491" i="2" s="1"/>
  <c r="Y467" i="2"/>
  <c r="W467" i="2" s="1"/>
  <c r="Y105" i="2"/>
  <c r="W105" i="2" s="1"/>
  <c r="Y156" i="2"/>
  <c r="W156" i="2" s="1"/>
  <c r="Y367" i="2"/>
  <c r="W367" i="2" s="1"/>
  <c r="Y446" i="2"/>
  <c r="W446" i="2" s="1"/>
  <c r="Y151" i="2"/>
  <c r="W151" i="2" s="1"/>
  <c r="Y5" i="2"/>
  <c r="W5" i="2" s="1"/>
  <c r="Y318" i="2"/>
  <c r="W318" i="2" s="1"/>
  <c r="Y36" i="2"/>
  <c r="W36" i="2" s="1"/>
  <c r="Y266" i="2"/>
  <c r="W266" i="2" s="1"/>
  <c r="Y34" i="2"/>
  <c r="W34" i="2" s="1"/>
  <c r="Y525" i="2"/>
  <c r="W525" i="2" s="1"/>
  <c r="Y447" i="2"/>
  <c r="W447" i="2" s="1"/>
  <c r="Y325" i="2"/>
  <c r="W325" i="2" s="1"/>
  <c r="Y340" i="2"/>
  <c r="W340" i="2" s="1"/>
  <c r="Y426" i="2"/>
  <c r="W426" i="2" s="1"/>
  <c r="Y98" i="2"/>
  <c r="W98" i="2" s="1"/>
  <c r="Y358" i="2"/>
  <c r="W358" i="2" s="1"/>
  <c r="Y511" i="2"/>
  <c r="W511" i="2" s="1"/>
  <c r="Y15" i="2"/>
  <c r="W15" i="2" s="1"/>
  <c r="Y382" i="2"/>
  <c r="W382" i="2" s="1"/>
  <c r="Y134" i="2"/>
  <c r="W134" i="2" s="1"/>
  <c r="Y260" i="2"/>
  <c r="W260" i="2" s="1"/>
  <c r="Y343" i="2"/>
  <c r="W343" i="2" s="1"/>
  <c r="Y397" i="2"/>
  <c r="W397" i="2" s="1"/>
  <c r="Y411" i="2"/>
  <c r="W411" i="2" s="1"/>
  <c r="Y283" i="2"/>
  <c r="W283" i="2" s="1"/>
  <c r="Y255" i="2"/>
  <c r="W255" i="2" s="1"/>
  <c r="Y415" i="2"/>
  <c r="W415" i="2" s="1"/>
  <c r="Y155" i="2"/>
  <c r="W155" i="2" s="1"/>
  <c r="Y483" i="2"/>
  <c r="W483" i="2" s="1"/>
  <c r="Y473" i="2"/>
  <c r="W473" i="2" s="1"/>
  <c r="Y292" i="2"/>
  <c r="W292" i="2" s="1"/>
  <c r="Y8" i="2"/>
  <c r="W8" i="2" s="1"/>
  <c r="Y400" i="2"/>
  <c r="W400" i="2" s="1"/>
  <c r="Y55" i="2"/>
  <c r="W55" i="2" s="1"/>
  <c r="Y450" i="2"/>
  <c r="W450" i="2" s="1"/>
  <c r="Y13" i="2"/>
  <c r="W13" i="2" s="1"/>
  <c r="Y288" i="2"/>
  <c r="W288" i="2" s="1"/>
  <c r="Y423" i="2"/>
  <c r="W423" i="2" s="1"/>
  <c r="Y412" i="2"/>
  <c r="W412" i="2" s="1"/>
  <c r="Y91" i="2"/>
  <c r="W91" i="2" s="1"/>
  <c r="Y219" i="2"/>
  <c r="W219" i="2" s="1"/>
  <c r="Y419" i="2"/>
  <c r="W419" i="2" s="1"/>
  <c r="Q157" i="2"/>
  <c r="Q142" i="2"/>
  <c r="Q53" i="2"/>
  <c r="Q162" i="2"/>
  <c r="Q269" i="2"/>
  <c r="Q326" i="2"/>
  <c r="Q280" i="2"/>
  <c r="Q504" i="2"/>
  <c r="Q22" i="2"/>
  <c r="Q132" i="2"/>
  <c r="Q435" i="2"/>
  <c r="Q370" i="2"/>
  <c r="Q520" i="2"/>
  <c r="Q431" i="2"/>
  <c r="Q23" i="2"/>
  <c r="Q161" i="2"/>
  <c r="Q78" i="2"/>
  <c r="Q239" i="2"/>
  <c r="Q77" i="2"/>
  <c r="Q7" i="2"/>
  <c r="Q118" i="2"/>
  <c r="Q460" i="2"/>
  <c r="Q527" i="2"/>
  <c r="Q76" i="2"/>
  <c r="Q185" i="2"/>
  <c r="Q506" i="2"/>
  <c r="Q524" i="2"/>
  <c r="Q82" i="2"/>
  <c r="Q209" i="2"/>
  <c r="Q462" i="2"/>
  <c r="Q191" i="2"/>
  <c r="Q501" i="2"/>
  <c r="Q322" i="2"/>
  <c r="Q507" i="2"/>
  <c r="Q230" i="2"/>
  <c r="Q456" i="2"/>
  <c r="Q240" i="2"/>
  <c r="Q402" i="2"/>
  <c r="Q163" i="2"/>
  <c r="Q495" i="2"/>
  <c r="Q206" i="2"/>
  <c r="Q48" i="2"/>
  <c r="Q80" i="2"/>
  <c r="Q311" i="2"/>
  <c r="Q233" i="2"/>
  <c r="Q262" i="2"/>
  <c r="Q508" i="2"/>
  <c r="Q477" i="2"/>
  <c r="Q449" i="2"/>
  <c r="Q373" i="2"/>
  <c r="Q305" i="2"/>
  <c r="Q310" i="2"/>
  <c r="Q469" i="2"/>
  <c r="Q274" i="2"/>
  <c r="Q517" i="2"/>
  <c r="Q516" i="2"/>
  <c r="Q228" i="2"/>
  <c r="Q349" i="2"/>
  <c r="Q499" i="2"/>
  <c r="Q18" i="2"/>
  <c r="Q429" i="2"/>
  <c r="Q64" i="2"/>
  <c r="Q213" i="2"/>
  <c r="Q83" i="2"/>
  <c r="Q236" i="2"/>
  <c r="Q437" i="2"/>
  <c r="Q119" i="2"/>
  <c r="Q380" i="2"/>
  <c r="Q433" i="2"/>
  <c r="Q166" i="2"/>
  <c r="Q124" i="2"/>
  <c r="Q526" i="2"/>
  <c r="Q54" i="2"/>
  <c r="Q476" i="2"/>
  <c r="Q304" i="2"/>
  <c r="Q482" i="2"/>
  <c r="Q192" i="2"/>
  <c r="Q494" i="2"/>
  <c r="Q145" i="2"/>
  <c r="Q314" i="2"/>
  <c r="Q295" i="2"/>
  <c r="Q398" i="2"/>
  <c r="Q523" i="2"/>
  <c r="Q51" i="2"/>
  <c r="Q159" i="2"/>
  <c r="Q434" i="2"/>
  <c r="Q223" i="2"/>
  <c r="Q301" i="2"/>
  <c r="Q74" i="2"/>
  <c r="Q2" i="2"/>
  <c r="Q290" i="2"/>
  <c r="Q448" i="2"/>
  <c r="Q316" i="2"/>
  <c r="Q353" i="2"/>
  <c r="Q171" i="2"/>
  <c r="Q464" i="2"/>
  <c r="Q512" i="2"/>
  <c r="Q479" i="2"/>
  <c r="Q409" i="2"/>
  <c r="Q97" i="2"/>
  <c r="Q457" i="2"/>
  <c r="Q38" i="2"/>
  <c r="Q121" i="2"/>
  <c r="Q238" i="2"/>
  <c r="Q510" i="2"/>
  <c r="Q461" i="2"/>
  <c r="Q315" i="2"/>
  <c r="Q21" i="2"/>
  <c r="Q140" i="2"/>
  <c r="Q492" i="2"/>
  <c r="Q19" i="2"/>
  <c r="Q95" i="2"/>
  <c r="Q57" i="2"/>
  <c r="Q320" i="2"/>
  <c r="Q165" i="2"/>
  <c r="Q50" i="2"/>
  <c r="Q365" i="2"/>
  <c r="Q286" i="2"/>
  <c r="Q500" i="2"/>
  <c r="Q528" i="2"/>
  <c r="Q101" i="2"/>
  <c r="Q532" i="2"/>
  <c r="Q278" i="2"/>
  <c r="Q4" i="2"/>
  <c r="Q72" i="2"/>
  <c r="Q337" i="2"/>
  <c r="Q257" i="2"/>
  <c r="Q27" i="2"/>
  <c r="Q488" i="2"/>
  <c r="Q106" i="2"/>
  <c r="Q29" i="2"/>
  <c r="Q197" i="2"/>
  <c r="Q259" i="2"/>
  <c r="Q26" i="2"/>
  <c r="Q443" i="2"/>
  <c r="Q475" i="2"/>
  <c r="Q478" i="2"/>
  <c r="Q327" i="2"/>
  <c r="Q31" i="2"/>
  <c r="Q388" i="2"/>
  <c r="Q399" i="2"/>
  <c r="Q174" i="2"/>
  <c r="Q265" i="2"/>
  <c r="Q108" i="2"/>
  <c r="Q339" i="2"/>
  <c r="Q40" i="2"/>
  <c r="Q384" i="2"/>
  <c r="Q352" i="2"/>
  <c r="Q111" i="2"/>
  <c r="Q442" i="2"/>
  <c r="Q387" i="2"/>
  <c r="Q285" i="2"/>
  <c r="Q220" i="2"/>
  <c r="Q152" i="2"/>
  <c r="Q120" i="2"/>
  <c r="Q164" i="2"/>
  <c r="Q99" i="2"/>
  <c r="Q11" i="2"/>
  <c r="Q117" i="2"/>
  <c r="Q88" i="2"/>
  <c r="Q44" i="2"/>
  <c r="Q235" i="2"/>
  <c r="Q143" i="2"/>
  <c r="Q347" i="2"/>
  <c r="Q463" i="2"/>
  <c r="Q445" i="2"/>
  <c r="Q313" i="2"/>
  <c r="Q71" i="2"/>
  <c r="Q498" i="2"/>
  <c r="Q242" i="2"/>
  <c r="Q422" i="2"/>
  <c r="Q129" i="2"/>
  <c r="Q221" i="2"/>
  <c r="Q214" i="2"/>
  <c r="Q62" i="2"/>
  <c r="Q137" i="2"/>
  <c r="Q308" i="2"/>
  <c r="Q299" i="2"/>
  <c r="Q410" i="2"/>
  <c r="Q428" i="2"/>
  <c r="Q24" i="2"/>
  <c r="Q364" i="2"/>
  <c r="Q369" i="2"/>
  <c r="Q424" i="2"/>
  <c r="Q531" i="2"/>
  <c r="Q246" i="2"/>
  <c r="Q519" i="2"/>
  <c r="Q420" i="2"/>
  <c r="Q436" i="2"/>
  <c r="Q90" i="2"/>
  <c r="Q372" i="2"/>
  <c r="Q204" i="2"/>
  <c r="Q452" i="2"/>
  <c r="Q168" i="2"/>
  <c r="Q110" i="2"/>
  <c r="Q405" i="2"/>
  <c r="Q216" i="2"/>
  <c r="Q104" i="2"/>
  <c r="Q3" i="2"/>
  <c r="Q270" i="2"/>
  <c r="Q277" i="2"/>
  <c r="Q359" i="2"/>
  <c r="Q167" i="2"/>
  <c r="Q389" i="2"/>
  <c r="Q92" i="2"/>
  <c r="Q518" i="2"/>
  <c r="Q102" i="2"/>
  <c r="Q417" i="2"/>
  <c r="Q466" i="2"/>
  <c r="Q250" i="2"/>
  <c r="Q234" i="2"/>
  <c r="Q427" i="2"/>
  <c r="Q502" i="2"/>
  <c r="Q215" i="2"/>
  <c r="Q114" i="2"/>
  <c r="Q522" i="2"/>
  <c r="Q486" i="2"/>
  <c r="Q186" i="2"/>
  <c r="Q73" i="2"/>
  <c r="Q472" i="2"/>
  <c r="Q474" i="2"/>
  <c r="Q195" i="2"/>
  <c r="Q187" i="2"/>
  <c r="Q208" i="2"/>
  <c r="Q251" i="2"/>
  <c r="Q361" i="2"/>
  <c r="Q432" i="2"/>
  <c r="Q244" i="2"/>
  <c r="Q342" i="2"/>
  <c r="Q335" i="2"/>
  <c r="Q109" i="2"/>
  <c r="Q393" i="2"/>
  <c r="Q418" i="2"/>
  <c r="Q202" i="2"/>
  <c r="Q32" i="2"/>
  <c r="Q127" i="2"/>
  <c r="Q375" i="2"/>
  <c r="Q201" i="2"/>
  <c r="Q485" i="2"/>
  <c r="Q175" i="2"/>
  <c r="Q490" i="2"/>
  <c r="Q503" i="2"/>
  <c r="Q75" i="2"/>
  <c r="Q153" i="2"/>
  <c r="Q529" i="2"/>
  <c r="Q217" i="2"/>
  <c r="Q43" i="2"/>
  <c r="Q267" i="2"/>
  <c r="Q100" i="2"/>
  <c r="Q413" i="2"/>
  <c r="Q196" i="2"/>
  <c r="Q403" i="2"/>
  <c r="Q354" i="2"/>
  <c r="Q324" i="2"/>
  <c r="Q136" i="2"/>
  <c r="Q25" i="2"/>
  <c r="Q438" i="2"/>
  <c r="Q425" i="2"/>
  <c r="Q328" i="2"/>
  <c r="Q66" i="2"/>
  <c r="Q116" i="2"/>
  <c r="Q362" i="2"/>
  <c r="Q261" i="2"/>
  <c r="Q107" i="2"/>
  <c r="Q46" i="2"/>
  <c r="Q9" i="2"/>
  <c r="Q252" i="2"/>
  <c r="Q348" i="2"/>
  <c r="Q112" i="2"/>
  <c r="Q481" i="2"/>
  <c r="Q439" i="2"/>
  <c r="Q60" i="2"/>
  <c r="Q178" i="2"/>
  <c r="Q333" i="2"/>
  <c r="Q395" i="2"/>
  <c r="Q184" i="2"/>
  <c r="Q254" i="2"/>
  <c r="Q245" i="2"/>
  <c r="Q509" i="2"/>
  <c r="Q414" i="2"/>
  <c r="Q391" i="2"/>
  <c r="Q232" i="2"/>
  <c r="Q441" i="2"/>
  <c r="Q158" i="2"/>
  <c r="Q47" i="2"/>
  <c r="Q103" i="2"/>
  <c r="Q530" i="2"/>
  <c r="Q493" i="2"/>
  <c r="Q198" i="2"/>
  <c r="Q284" i="2"/>
  <c r="Q471" i="2"/>
  <c r="Q12" i="2"/>
  <c r="Q312" i="2"/>
  <c r="Q176" i="2"/>
  <c r="Q211" i="2"/>
  <c r="Q454" i="2"/>
  <c r="Q138" i="2"/>
  <c r="Q115" i="2"/>
  <c r="Q205" i="2"/>
  <c r="Q199" i="2"/>
  <c r="Q58" i="2"/>
  <c r="Q289" i="2"/>
  <c r="Q497" i="2"/>
  <c r="Q56" i="2"/>
  <c r="Q371" i="2"/>
  <c r="Q513" i="2"/>
  <c r="Q451" i="2"/>
  <c r="Q275" i="2"/>
  <c r="Q302" i="2"/>
  <c r="Q39" i="2"/>
  <c r="Q237" i="2"/>
  <c r="Q52" i="2"/>
  <c r="Q336" i="2"/>
  <c r="Q394" i="2"/>
  <c r="Q67" i="2"/>
  <c r="Q430" i="2"/>
  <c r="Q203" i="2"/>
  <c r="Q453" i="2"/>
  <c r="Q207" i="2"/>
  <c r="Q329" i="2"/>
  <c r="Q332" i="2"/>
  <c r="Q20" i="2"/>
  <c r="Q144" i="2"/>
  <c r="Q49" i="2"/>
  <c r="Q70" i="2"/>
  <c r="Q487" i="2"/>
  <c r="Q125" i="2"/>
  <c r="Q135" i="2"/>
  <c r="Q253" i="2"/>
  <c r="Q126" i="2"/>
  <c r="Q225" i="2"/>
  <c r="Q351" i="2"/>
  <c r="Q249" i="2"/>
  <c r="Q323" i="2"/>
  <c r="Q33" i="2"/>
  <c r="Q291" i="2"/>
  <c r="Q141" i="2"/>
  <c r="Q212" i="2"/>
  <c r="Q378" i="2"/>
  <c r="Q287" i="2"/>
  <c r="Q390" i="2"/>
  <c r="Q227" i="2"/>
  <c r="Q190" i="2"/>
  <c r="Q177" i="2"/>
  <c r="Q210" i="2"/>
  <c r="Q406" i="2"/>
  <c r="Q30" i="2"/>
  <c r="Q459" i="2"/>
  <c r="Q188" i="2"/>
  <c r="Q293" i="2"/>
  <c r="Q421" i="2"/>
  <c r="Q272" i="2"/>
  <c r="Q341" i="2"/>
  <c r="Q363" i="2"/>
  <c r="Q515" i="2"/>
  <c r="Q282" i="2"/>
  <c r="Q444" i="2"/>
  <c r="Q376" i="2"/>
  <c r="Q344" i="2"/>
  <c r="Q505" i="2"/>
  <c r="Q377" i="2"/>
  <c r="Q407" i="2"/>
  <c r="Q41" i="2"/>
  <c r="Q514" i="2"/>
  <c r="Q360" i="2"/>
  <c r="Q480" i="2"/>
  <c r="Q200" i="2"/>
  <c r="Q317" i="2"/>
  <c r="Q345" i="2"/>
  <c r="Q181" i="2"/>
  <c r="Q150" i="2"/>
  <c r="Q45" i="2"/>
  <c r="Q416" i="2"/>
  <c r="Q87" i="2"/>
  <c r="Q241" i="2"/>
  <c r="Q130" i="2"/>
  <c r="Q170" i="2"/>
  <c r="Q440" i="2"/>
  <c r="Q468" i="2"/>
  <c r="Q146" i="2"/>
  <c r="Q194" i="2"/>
  <c r="Q298" i="2"/>
  <c r="Q14" i="2"/>
  <c r="Q455" i="2"/>
  <c r="Q154" i="2"/>
  <c r="Q307" i="2"/>
  <c r="Q319" i="2"/>
  <c r="Q6" i="2"/>
  <c r="Q93" i="2"/>
  <c r="Q279" i="2"/>
  <c r="Q84" i="2"/>
  <c r="Q357" i="2"/>
  <c r="Q37" i="2"/>
  <c r="Q256" i="2"/>
  <c r="Q264" i="2"/>
  <c r="Q465" i="2"/>
  <c r="Q381" i="2"/>
  <c r="Q63" i="2"/>
  <c r="Q470" i="2"/>
  <c r="Q17" i="2"/>
  <c r="Q65" i="2"/>
  <c r="Q229" i="2"/>
  <c r="Q169" i="2"/>
  <c r="Q321" i="2"/>
  <c r="Q224" i="2"/>
  <c r="Q189" i="2"/>
  <c r="Q366" i="2"/>
  <c r="Q222" i="2"/>
  <c r="Q268" i="2"/>
  <c r="Q263" i="2"/>
  <c r="Q226" i="2"/>
  <c r="Q346" i="2"/>
  <c r="Q309" i="2"/>
  <c r="Q294" i="2"/>
  <c r="Q489" i="2"/>
  <c r="Q392" i="2"/>
  <c r="Q273" i="2"/>
  <c r="Q193" i="2"/>
  <c r="Q521" i="2"/>
  <c r="Q300" i="2"/>
  <c r="Q408" i="2"/>
  <c r="Q276" i="2"/>
  <c r="Q35" i="2"/>
  <c r="Q355" i="2"/>
  <c r="Q139" i="2"/>
  <c r="Q248" i="2"/>
  <c r="Q330" i="2"/>
  <c r="Q383" i="2"/>
  <c r="Q173" i="2"/>
  <c r="Q297" i="2"/>
  <c r="Q484" i="2"/>
  <c r="Q218" i="2"/>
  <c r="Q183" i="2"/>
  <c r="Q496" i="2"/>
  <c r="Q89" i="2"/>
  <c r="Q356" i="2"/>
  <c r="Q172" i="2"/>
  <c r="Q231" i="2"/>
  <c r="Q122" i="2"/>
  <c r="Q123" i="2"/>
  <c r="Q374" i="2"/>
  <c r="Q133" i="2"/>
  <c r="Q401" i="2"/>
  <c r="Q338" i="2"/>
  <c r="Q303" i="2"/>
  <c r="Q131" i="2"/>
  <c r="Q68" i="2"/>
  <c r="Q386" i="2"/>
  <c r="Q85" i="2"/>
  <c r="Q368" i="2"/>
  <c r="Q180" i="2"/>
  <c r="Q179" i="2"/>
  <c r="Q182" i="2"/>
  <c r="Q148" i="2"/>
  <c r="Q396" i="2"/>
  <c r="Q113" i="2"/>
  <c r="Q334" i="2"/>
  <c r="Q16" i="2"/>
  <c r="Q96" i="2"/>
  <c r="Q243" i="2"/>
  <c r="Q258" i="2"/>
  <c r="Q28" i="2"/>
  <c r="Q404" i="2"/>
  <c r="Q331" i="2"/>
  <c r="Q42" i="2"/>
  <c r="Q296" i="2"/>
  <c r="Q281" i="2"/>
  <c r="Q271" i="2"/>
  <c r="Q79" i="2"/>
  <c r="Q306" i="2"/>
  <c r="Q147" i="2"/>
  <c r="Q61" i="2"/>
  <c r="Q350" i="2"/>
  <c r="Q59" i="2"/>
  <c r="Q379" i="2"/>
  <c r="Q128" i="2"/>
  <c r="Q86" i="2"/>
  <c r="Q81" i="2"/>
  <c r="Q94" i="2"/>
  <c r="Q10" i="2"/>
  <c r="Q247" i="2"/>
  <c r="Q491" i="2"/>
  <c r="Q467" i="2"/>
  <c r="Q105" i="2"/>
  <c r="Q156" i="2"/>
  <c r="Q367" i="2"/>
  <c r="Q446" i="2"/>
  <c r="Q151" i="2"/>
  <c r="Q5" i="2"/>
  <c r="Q318" i="2"/>
  <c r="Q36" i="2"/>
  <c r="Q266" i="2"/>
  <c r="Q34" i="2"/>
  <c r="Q525" i="2"/>
  <c r="Q447" i="2"/>
  <c r="Q325" i="2"/>
  <c r="Q340" i="2"/>
  <c r="Q426" i="2"/>
  <c r="Q98" i="2"/>
  <c r="Q358" i="2"/>
  <c r="Q511" i="2"/>
  <c r="Q15" i="2"/>
  <c r="Q149" i="2"/>
  <c r="Q382" i="2"/>
  <c r="Q134" i="2"/>
  <c r="Q260" i="2"/>
  <c r="Q343" i="2"/>
  <c r="Q397" i="2"/>
  <c r="Q411" i="2"/>
  <c r="Q283" i="2"/>
  <c r="Q255" i="2"/>
  <c r="Q415" i="2"/>
  <c r="Q155" i="2"/>
  <c r="Q483" i="2"/>
  <c r="Q473" i="2"/>
  <c r="Q292" i="2"/>
  <c r="Q8" i="2"/>
  <c r="Q400" i="2"/>
  <c r="Q55" i="2"/>
  <c r="Q450" i="2"/>
  <c r="Q13" i="2"/>
  <c r="Q288" i="2"/>
  <c r="Q423" i="2"/>
  <c r="Q412" i="2"/>
  <c r="Q91" i="2"/>
  <c r="Q219" i="2"/>
  <c r="Q419" i="2"/>
  <c r="O157" i="2"/>
  <c r="O142" i="2"/>
  <c r="O53" i="2"/>
  <c r="O162" i="2"/>
  <c r="O269" i="2"/>
  <c r="O326" i="2"/>
  <c r="O280" i="2"/>
  <c r="O504" i="2"/>
  <c r="O22" i="2"/>
  <c r="O132" i="2"/>
  <c r="O435" i="2"/>
  <c r="O370" i="2"/>
  <c r="O520" i="2"/>
  <c r="O431" i="2"/>
  <c r="O23" i="2"/>
  <c r="O161" i="2"/>
  <c r="O78" i="2"/>
  <c r="O239" i="2"/>
  <c r="O77" i="2"/>
  <c r="O7" i="2"/>
  <c r="O118" i="2"/>
  <c r="O460" i="2"/>
  <c r="O527" i="2"/>
  <c r="O76" i="2"/>
  <c r="O185" i="2"/>
  <c r="O506" i="2"/>
  <c r="O524" i="2"/>
  <c r="O82" i="2"/>
  <c r="O209" i="2"/>
  <c r="O462" i="2"/>
  <c r="O191" i="2"/>
  <c r="O501" i="2"/>
  <c r="O322" i="2"/>
  <c r="O507" i="2"/>
  <c r="O230" i="2"/>
  <c r="O456" i="2"/>
  <c r="O240" i="2"/>
  <c r="O402" i="2"/>
  <c r="O163" i="2"/>
  <c r="O495" i="2"/>
  <c r="O206" i="2"/>
  <c r="O48" i="2"/>
  <c r="O80" i="2"/>
  <c r="O311" i="2"/>
  <c r="O233" i="2"/>
  <c r="O262" i="2"/>
  <c r="O508" i="2"/>
  <c r="O477" i="2"/>
  <c r="O449" i="2"/>
  <c r="O373" i="2"/>
  <c r="O305" i="2"/>
  <c r="O310" i="2"/>
  <c r="O469" i="2"/>
  <c r="O274" i="2"/>
  <c r="O517" i="2"/>
  <c r="O516" i="2"/>
  <c r="O228" i="2"/>
  <c r="O349" i="2"/>
  <c r="O499" i="2"/>
  <c r="O18" i="2"/>
  <c r="O429" i="2"/>
  <c r="O64" i="2"/>
  <c r="O213" i="2"/>
  <c r="O83" i="2"/>
  <c r="O236" i="2"/>
  <c r="O437" i="2"/>
  <c r="O119" i="2"/>
  <c r="O380" i="2"/>
  <c r="O433" i="2"/>
  <c r="O166" i="2"/>
  <c r="O124" i="2"/>
  <c r="O526" i="2"/>
  <c r="O54" i="2"/>
  <c r="O476" i="2"/>
  <c r="O304" i="2"/>
  <c r="O482" i="2"/>
  <c r="O192" i="2"/>
  <c r="O494" i="2"/>
  <c r="O145" i="2"/>
  <c r="O314" i="2"/>
  <c r="O295" i="2"/>
  <c r="O398" i="2"/>
  <c r="O523" i="2"/>
  <c r="O51" i="2"/>
  <c r="O159" i="2"/>
  <c r="O434" i="2"/>
  <c r="O223" i="2"/>
  <c r="O301" i="2"/>
  <c r="O74" i="2"/>
  <c r="O2" i="2"/>
  <c r="O290" i="2"/>
  <c r="O448" i="2"/>
  <c r="O316" i="2"/>
  <c r="O353" i="2"/>
  <c r="O171" i="2"/>
  <c r="O464" i="2"/>
  <c r="O512" i="2"/>
  <c r="O479" i="2"/>
  <c r="O409" i="2"/>
  <c r="O97" i="2"/>
  <c r="O457" i="2"/>
  <c r="O38" i="2"/>
  <c r="O121" i="2"/>
  <c r="O238" i="2"/>
  <c r="O510" i="2"/>
  <c r="O461" i="2"/>
  <c r="O315" i="2"/>
  <c r="O21" i="2"/>
  <c r="O140" i="2"/>
  <c r="O492" i="2"/>
  <c r="O19" i="2"/>
  <c r="O95" i="2"/>
  <c r="O57" i="2"/>
  <c r="O320" i="2"/>
  <c r="O165" i="2"/>
  <c r="O50" i="2"/>
  <c r="O365" i="2"/>
  <c r="O286" i="2"/>
  <c r="O500" i="2"/>
  <c r="O528" i="2"/>
  <c r="O101" i="2"/>
  <c r="O532" i="2"/>
  <c r="O278" i="2"/>
  <c r="O4" i="2"/>
  <c r="O72" i="2"/>
  <c r="O337" i="2"/>
  <c r="O257" i="2"/>
  <c r="O27" i="2"/>
  <c r="O488" i="2"/>
  <c r="O106" i="2"/>
  <c r="O29" i="2"/>
  <c r="O197" i="2"/>
  <c r="O259" i="2"/>
  <c r="O26" i="2"/>
  <c r="O443" i="2"/>
  <c r="O475" i="2"/>
  <c r="O478" i="2"/>
  <c r="O327" i="2"/>
  <c r="O31" i="2"/>
  <c r="O388" i="2"/>
  <c r="O399" i="2"/>
  <c r="O174" i="2"/>
  <c r="O265" i="2"/>
  <c r="O108" i="2"/>
  <c r="O339" i="2"/>
  <c r="O40" i="2"/>
  <c r="O384" i="2"/>
  <c r="O352" i="2"/>
  <c r="O111" i="2"/>
  <c r="O442" i="2"/>
  <c r="O160" i="2"/>
  <c r="O387" i="2"/>
  <c r="O285" i="2"/>
  <c r="O220" i="2"/>
  <c r="O152" i="2"/>
  <c r="O120" i="2"/>
  <c r="O164" i="2"/>
  <c r="O99" i="2"/>
  <c r="O11" i="2"/>
  <c r="O117" i="2"/>
  <c r="O88" i="2"/>
  <c r="O44" i="2"/>
  <c r="O235" i="2"/>
  <c r="O143" i="2"/>
  <c r="O347" i="2"/>
  <c r="O463" i="2"/>
  <c r="O445" i="2"/>
  <c r="O313" i="2"/>
  <c r="O71" i="2"/>
  <c r="O498" i="2"/>
  <c r="O242" i="2"/>
  <c r="O422" i="2"/>
  <c r="O129" i="2"/>
  <c r="O221" i="2"/>
  <c r="O214" i="2"/>
  <c r="O62" i="2"/>
  <c r="O137" i="2"/>
  <c r="O308" i="2"/>
  <c r="O299" i="2"/>
  <c r="O410" i="2"/>
  <c r="O428" i="2"/>
  <c r="O24" i="2"/>
  <c r="O364" i="2"/>
  <c r="O369" i="2"/>
  <c r="O424" i="2"/>
  <c r="O531" i="2"/>
  <c r="O246" i="2"/>
  <c r="O519" i="2"/>
  <c r="O420" i="2"/>
  <c r="O436" i="2"/>
  <c r="O90" i="2"/>
  <c r="O372" i="2"/>
  <c r="O204" i="2"/>
  <c r="O452" i="2"/>
  <c r="O168" i="2"/>
  <c r="O110" i="2"/>
  <c r="O405" i="2"/>
  <c r="O216" i="2"/>
  <c r="O104" i="2"/>
  <c r="O3" i="2"/>
  <c r="O270" i="2"/>
  <c r="O277" i="2"/>
  <c r="O359" i="2"/>
  <c r="O167" i="2"/>
  <c r="O389" i="2"/>
  <c r="O92" i="2"/>
  <c r="O518" i="2"/>
  <c r="O102" i="2"/>
  <c r="O417" i="2"/>
  <c r="O466" i="2"/>
  <c r="O250" i="2"/>
  <c r="O234" i="2"/>
  <c r="O427" i="2"/>
  <c r="O502" i="2"/>
  <c r="O215" i="2"/>
  <c r="O114" i="2"/>
  <c r="O522" i="2"/>
  <c r="O486" i="2"/>
  <c r="O186" i="2"/>
  <c r="O73" i="2"/>
  <c r="O472" i="2"/>
  <c r="O474" i="2"/>
  <c r="O195" i="2"/>
  <c r="O187" i="2"/>
  <c r="O208" i="2"/>
  <c r="O251" i="2"/>
  <c r="O361" i="2"/>
  <c r="O432" i="2"/>
  <c r="O244" i="2"/>
  <c r="O342" i="2"/>
  <c r="O335" i="2"/>
  <c r="O109" i="2"/>
  <c r="O393" i="2"/>
  <c r="O418" i="2"/>
  <c r="O202" i="2"/>
  <c r="O32" i="2"/>
  <c r="O127" i="2"/>
  <c r="O375" i="2"/>
  <c r="O201" i="2"/>
  <c r="O485" i="2"/>
  <c r="O175" i="2"/>
  <c r="O490" i="2"/>
  <c r="O503" i="2"/>
  <c r="O75" i="2"/>
  <c r="O153" i="2"/>
  <c r="O529" i="2"/>
  <c r="O217" i="2"/>
  <c r="O43" i="2"/>
  <c r="O267" i="2"/>
  <c r="O100" i="2"/>
  <c r="O413" i="2"/>
  <c r="O196" i="2"/>
  <c r="O403" i="2"/>
  <c r="O354" i="2"/>
  <c r="O324" i="2"/>
  <c r="O136" i="2"/>
  <c r="O25" i="2"/>
  <c r="O438" i="2"/>
  <c r="O425" i="2"/>
  <c r="O328" i="2"/>
  <c r="O66" i="2"/>
  <c r="O116" i="2"/>
  <c r="O362" i="2"/>
  <c r="O261" i="2"/>
  <c r="O107" i="2"/>
  <c r="O46" i="2"/>
  <c r="O9" i="2"/>
  <c r="O252" i="2"/>
  <c r="O348" i="2"/>
  <c r="O112" i="2"/>
  <c r="O481" i="2"/>
  <c r="O439" i="2"/>
  <c r="O60" i="2"/>
  <c r="O178" i="2"/>
  <c r="O333" i="2"/>
  <c r="O395" i="2"/>
  <c r="O184" i="2"/>
  <c r="O254" i="2"/>
  <c r="O245" i="2"/>
  <c r="O509" i="2"/>
  <c r="O414" i="2"/>
  <c r="O391" i="2"/>
  <c r="O232" i="2"/>
  <c r="O441" i="2"/>
  <c r="O158" i="2"/>
  <c r="O47" i="2"/>
  <c r="O103" i="2"/>
  <c r="O530" i="2"/>
  <c r="O493" i="2"/>
  <c r="O198" i="2"/>
  <c r="O284" i="2"/>
  <c r="O471" i="2"/>
  <c r="O12" i="2"/>
  <c r="O312" i="2"/>
  <c r="O176" i="2"/>
  <c r="O211" i="2"/>
  <c r="O454" i="2"/>
  <c r="O138" i="2"/>
  <c r="O115" i="2"/>
  <c r="O205" i="2"/>
  <c r="O199" i="2"/>
  <c r="O58" i="2"/>
  <c r="O289" i="2"/>
  <c r="O497" i="2"/>
  <c r="O56" i="2"/>
  <c r="O371" i="2"/>
  <c r="O513" i="2"/>
  <c r="O451" i="2"/>
  <c r="O275" i="2"/>
  <c r="O302" i="2"/>
  <c r="O39" i="2"/>
  <c r="O237" i="2"/>
  <c r="O52" i="2"/>
  <c r="O336" i="2"/>
  <c r="O394" i="2"/>
  <c r="O67" i="2"/>
  <c r="O430" i="2"/>
  <c r="O203" i="2"/>
  <c r="O453" i="2"/>
  <c r="O207" i="2"/>
  <c r="O329" i="2"/>
  <c r="O332" i="2"/>
  <c r="O385" i="2"/>
  <c r="O20" i="2"/>
  <c r="O144" i="2"/>
  <c r="O49" i="2"/>
  <c r="O70" i="2"/>
  <c r="O487" i="2"/>
  <c r="O125" i="2"/>
  <c r="O135" i="2"/>
  <c r="O253" i="2"/>
  <c r="O126" i="2"/>
  <c r="O225" i="2"/>
  <c r="O351" i="2"/>
  <c r="O249" i="2"/>
  <c r="O458" i="2"/>
  <c r="O323" i="2"/>
  <c r="O33" i="2"/>
  <c r="O291" i="2"/>
  <c r="O141" i="2"/>
  <c r="O212" i="2"/>
  <c r="O378" i="2"/>
  <c r="O287" i="2"/>
  <c r="O390" i="2"/>
  <c r="O227" i="2"/>
  <c r="O190" i="2"/>
  <c r="O177" i="2"/>
  <c r="O210" i="2"/>
  <c r="O406" i="2"/>
  <c r="O30" i="2"/>
  <c r="O459" i="2"/>
  <c r="O188" i="2"/>
  <c r="O293" i="2"/>
  <c r="O421" i="2"/>
  <c r="O272" i="2"/>
  <c r="O341" i="2"/>
  <c r="O363" i="2"/>
  <c r="O515" i="2"/>
  <c r="O282" i="2"/>
  <c r="O444" i="2"/>
  <c r="O376" i="2"/>
  <c r="O344" i="2"/>
  <c r="O505" i="2"/>
  <c r="O377" i="2"/>
  <c r="O407" i="2"/>
  <c r="O41" i="2"/>
  <c r="O514" i="2"/>
  <c r="O360" i="2"/>
  <c r="O480" i="2"/>
  <c r="O200" i="2"/>
  <c r="O317" i="2"/>
  <c r="O345" i="2"/>
  <c r="O181" i="2"/>
  <c r="O150" i="2"/>
  <c r="O45" i="2"/>
  <c r="O416" i="2"/>
  <c r="O87" i="2"/>
  <c r="O241" i="2"/>
  <c r="O130" i="2"/>
  <c r="O170" i="2"/>
  <c r="O440" i="2"/>
  <c r="O468" i="2"/>
  <c r="O146" i="2"/>
  <c r="O194" i="2"/>
  <c r="O298" i="2"/>
  <c r="O14" i="2"/>
  <c r="O455" i="2"/>
  <c r="O154" i="2"/>
  <c r="O307" i="2"/>
  <c r="O319" i="2"/>
  <c r="O6" i="2"/>
  <c r="O93" i="2"/>
  <c r="O279" i="2"/>
  <c r="O84" i="2"/>
  <c r="O357" i="2"/>
  <c r="O37" i="2"/>
  <c r="O256" i="2"/>
  <c r="O264" i="2"/>
  <c r="O465" i="2"/>
  <c r="O381" i="2"/>
  <c r="O63" i="2"/>
  <c r="O470" i="2"/>
  <c r="O17" i="2"/>
  <c r="O65" i="2"/>
  <c r="O229" i="2"/>
  <c r="O169" i="2"/>
  <c r="O321" i="2"/>
  <c r="O224" i="2"/>
  <c r="O189" i="2"/>
  <c r="O366" i="2"/>
  <c r="O222" i="2"/>
  <c r="O268" i="2"/>
  <c r="O263" i="2"/>
  <c r="O226" i="2"/>
  <c r="O346" i="2"/>
  <c r="O309" i="2"/>
  <c r="O294" i="2"/>
  <c r="O489" i="2"/>
  <c r="O392" i="2"/>
  <c r="O273" i="2"/>
  <c r="O193" i="2"/>
  <c r="O521" i="2"/>
  <c r="O300" i="2"/>
  <c r="O408" i="2"/>
  <c r="O276" i="2"/>
  <c r="O69" i="2"/>
  <c r="O35" i="2"/>
  <c r="O355" i="2"/>
  <c r="O139" i="2"/>
  <c r="O248" i="2"/>
  <c r="O330" i="2"/>
  <c r="O383" i="2"/>
  <c r="O173" i="2"/>
  <c r="O297" i="2"/>
  <c r="O484" i="2"/>
  <c r="O218" i="2"/>
  <c r="O183" i="2"/>
  <c r="O496" i="2"/>
  <c r="O89" i="2"/>
  <c r="O356" i="2"/>
  <c r="O172" i="2"/>
  <c r="O231" i="2"/>
  <c r="O122" i="2"/>
  <c r="O123" i="2"/>
  <c r="O374" i="2"/>
  <c r="O133" i="2"/>
  <c r="O401" i="2"/>
  <c r="O338" i="2"/>
  <c r="O303" i="2"/>
  <c r="O131" i="2"/>
  <c r="O68" i="2"/>
  <c r="O386" i="2"/>
  <c r="O85" i="2"/>
  <c r="O368" i="2"/>
  <c r="O180" i="2"/>
  <c r="O179" i="2"/>
  <c r="O182" i="2"/>
  <c r="O148" i="2"/>
  <c r="O396" i="2"/>
  <c r="O113" i="2"/>
  <c r="O334" i="2"/>
  <c r="O16" i="2"/>
  <c r="O96" i="2"/>
  <c r="O243" i="2"/>
  <c r="O258" i="2"/>
  <c r="O28" i="2"/>
  <c r="O404" i="2"/>
  <c r="O331" i="2"/>
  <c r="O42" i="2"/>
  <c r="O296" i="2"/>
  <c r="O281" i="2"/>
  <c r="O271" i="2"/>
  <c r="O79" i="2"/>
  <c r="O306" i="2"/>
  <c r="O147" i="2"/>
  <c r="O61" i="2"/>
  <c r="O350" i="2"/>
  <c r="O59" i="2"/>
  <c r="O379" i="2"/>
  <c r="O128" i="2"/>
  <c r="O86" i="2"/>
  <c r="O81" i="2"/>
  <c r="O94" i="2"/>
  <c r="O10" i="2"/>
  <c r="O247" i="2"/>
  <c r="O491" i="2"/>
  <c r="O467" i="2"/>
  <c r="O105" i="2"/>
  <c r="O156" i="2"/>
  <c r="O367" i="2"/>
  <c r="O446" i="2"/>
  <c r="O151" i="2"/>
  <c r="O5" i="2"/>
  <c r="O318" i="2"/>
  <c r="O36" i="2"/>
  <c r="O266" i="2"/>
  <c r="O34" i="2"/>
  <c r="O525" i="2"/>
  <c r="O447" i="2"/>
  <c r="O325" i="2"/>
  <c r="O340" i="2"/>
  <c r="O426" i="2"/>
  <c r="O98" i="2"/>
  <c r="O358" i="2"/>
  <c r="O511" i="2"/>
  <c r="O15" i="2"/>
  <c r="O149" i="2"/>
  <c r="O382" i="2"/>
  <c r="O134" i="2"/>
  <c r="O260" i="2"/>
  <c r="O343" i="2"/>
  <c r="O397" i="2"/>
  <c r="O411" i="2"/>
  <c r="O283" i="2"/>
  <c r="O255" i="2"/>
  <c r="O415" i="2"/>
  <c r="O155" i="2"/>
  <c r="O483" i="2"/>
  <c r="O473" i="2"/>
  <c r="O292" i="2"/>
  <c r="O8" i="2"/>
  <c r="O400" i="2"/>
  <c r="O55" i="2"/>
  <c r="O450" i="2"/>
  <c r="O13" i="2"/>
  <c r="O288" i="2"/>
  <c r="O423" i="2"/>
  <c r="O412" i="2"/>
  <c r="O91" i="2"/>
  <c r="O219" i="2"/>
  <c r="O419" i="2"/>
  <c r="M157" i="2"/>
  <c r="M142" i="2"/>
  <c r="M53" i="2"/>
  <c r="M162" i="2"/>
  <c r="M269" i="2"/>
  <c r="M326" i="2"/>
  <c r="M280" i="2"/>
  <c r="M504" i="2"/>
  <c r="M22" i="2"/>
  <c r="M132" i="2"/>
  <c r="M435" i="2"/>
  <c r="M370" i="2"/>
  <c r="M520" i="2"/>
  <c r="M431" i="2"/>
  <c r="M23" i="2"/>
  <c r="M161" i="2"/>
  <c r="M78" i="2"/>
  <c r="M239" i="2"/>
  <c r="M77" i="2"/>
  <c r="M7" i="2"/>
  <c r="M118" i="2"/>
  <c r="M460" i="2"/>
  <c r="M527" i="2"/>
  <c r="M76" i="2"/>
  <c r="M185" i="2"/>
  <c r="M506" i="2"/>
  <c r="M524" i="2"/>
  <c r="M82" i="2"/>
  <c r="M209" i="2"/>
  <c r="M462" i="2"/>
  <c r="M191" i="2"/>
  <c r="M501" i="2"/>
  <c r="M322" i="2"/>
  <c r="M507" i="2"/>
  <c r="M230" i="2"/>
  <c r="M456" i="2"/>
  <c r="M240" i="2"/>
  <c r="M402" i="2"/>
  <c r="M163" i="2"/>
  <c r="M495" i="2"/>
  <c r="M206" i="2"/>
  <c r="M48" i="2"/>
  <c r="M80" i="2"/>
  <c r="M311" i="2"/>
  <c r="M233" i="2"/>
  <c r="M262" i="2"/>
  <c r="M508" i="2"/>
  <c r="M477" i="2"/>
  <c r="M449" i="2"/>
  <c r="M373" i="2"/>
  <c r="M305" i="2"/>
  <c r="M310" i="2"/>
  <c r="M469" i="2"/>
  <c r="M274" i="2"/>
  <c r="M517" i="2"/>
  <c r="M516" i="2"/>
  <c r="M228" i="2"/>
  <c r="M349" i="2"/>
  <c r="M499" i="2"/>
  <c r="M18" i="2"/>
  <c r="M429" i="2"/>
  <c r="M64" i="2"/>
  <c r="M213" i="2"/>
  <c r="M83" i="2"/>
  <c r="M236" i="2"/>
  <c r="M437" i="2"/>
  <c r="M119" i="2"/>
  <c r="M380" i="2"/>
  <c r="M433" i="2"/>
  <c r="M166" i="2"/>
  <c r="M124" i="2"/>
  <c r="M526" i="2"/>
  <c r="M54" i="2"/>
  <c r="M476" i="2"/>
  <c r="M304" i="2"/>
  <c r="M482" i="2"/>
  <c r="M192" i="2"/>
  <c r="M494" i="2"/>
  <c r="M145" i="2"/>
  <c r="M314" i="2"/>
  <c r="M295" i="2"/>
  <c r="M398" i="2"/>
  <c r="M523" i="2"/>
  <c r="M51" i="2"/>
  <c r="M159" i="2"/>
  <c r="M434" i="2"/>
  <c r="M223" i="2"/>
  <c r="M301" i="2"/>
  <c r="M74" i="2"/>
  <c r="M2" i="2"/>
  <c r="M290" i="2"/>
  <c r="M448" i="2"/>
  <c r="M316" i="2"/>
  <c r="M353" i="2"/>
  <c r="M171" i="2"/>
  <c r="M464" i="2"/>
  <c r="M512" i="2"/>
  <c r="M479" i="2"/>
  <c r="M409" i="2"/>
  <c r="M97" i="2"/>
  <c r="M457" i="2"/>
  <c r="M38" i="2"/>
  <c r="M121" i="2"/>
  <c r="M238" i="2"/>
  <c r="M510" i="2"/>
  <c r="M461" i="2"/>
  <c r="M315" i="2"/>
  <c r="M21" i="2"/>
  <c r="M140" i="2"/>
  <c r="M492" i="2"/>
  <c r="M19" i="2"/>
  <c r="M95" i="2"/>
  <c r="M57" i="2"/>
  <c r="M320" i="2"/>
  <c r="M165" i="2"/>
  <c r="M50" i="2"/>
  <c r="M365" i="2"/>
  <c r="M286" i="2"/>
  <c r="M500" i="2"/>
  <c r="M528" i="2"/>
  <c r="M101" i="2"/>
  <c r="M532" i="2"/>
  <c r="M278" i="2"/>
  <c r="M4" i="2"/>
  <c r="M72" i="2"/>
  <c r="M337" i="2"/>
  <c r="M257" i="2"/>
  <c r="M27" i="2"/>
  <c r="M488" i="2"/>
  <c r="M106" i="2"/>
  <c r="M29" i="2"/>
  <c r="M197" i="2"/>
  <c r="M259" i="2"/>
  <c r="M26" i="2"/>
  <c r="M443" i="2"/>
  <c r="M475" i="2"/>
  <c r="M478" i="2"/>
  <c r="M327" i="2"/>
  <c r="M31" i="2"/>
  <c r="M388" i="2"/>
  <c r="M399" i="2"/>
  <c r="M174" i="2"/>
  <c r="M265" i="2"/>
  <c r="M108" i="2"/>
  <c r="M339" i="2"/>
  <c r="M40" i="2"/>
  <c r="M384" i="2"/>
  <c r="M352" i="2"/>
  <c r="M111" i="2"/>
  <c r="M442" i="2"/>
  <c r="M160" i="2"/>
  <c r="M387" i="2"/>
  <c r="M285" i="2"/>
  <c r="M220" i="2"/>
  <c r="M152" i="2"/>
  <c r="M120" i="2"/>
  <c r="M164" i="2"/>
  <c r="M99" i="2"/>
  <c r="M11" i="2"/>
  <c r="M117" i="2"/>
  <c r="M88" i="2"/>
  <c r="M44" i="2"/>
  <c r="M235" i="2"/>
  <c r="M143" i="2"/>
  <c r="M347" i="2"/>
  <c r="M463" i="2"/>
  <c r="M445" i="2"/>
  <c r="M313" i="2"/>
  <c r="M71" i="2"/>
  <c r="M498" i="2"/>
  <c r="M242" i="2"/>
  <c r="M422" i="2"/>
  <c r="M129" i="2"/>
  <c r="M221" i="2"/>
  <c r="M214" i="2"/>
  <c r="M62" i="2"/>
  <c r="M137" i="2"/>
  <c r="M308" i="2"/>
  <c r="M299" i="2"/>
  <c r="M410" i="2"/>
  <c r="M428" i="2"/>
  <c r="M24" i="2"/>
  <c r="M364" i="2"/>
  <c r="M369" i="2"/>
  <c r="M424" i="2"/>
  <c r="M531" i="2"/>
  <c r="M246" i="2"/>
  <c r="M519" i="2"/>
  <c r="M420" i="2"/>
  <c r="M436" i="2"/>
  <c r="M90" i="2"/>
  <c r="M372" i="2"/>
  <c r="M204" i="2"/>
  <c r="M452" i="2"/>
  <c r="M168" i="2"/>
  <c r="M110" i="2"/>
  <c r="M405" i="2"/>
  <c r="M216" i="2"/>
  <c r="M104" i="2"/>
  <c r="M3" i="2"/>
  <c r="M270" i="2"/>
  <c r="M277" i="2"/>
  <c r="M359" i="2"/>
  <c r="M167" i="2"/>
  <c r="M389" i="2"/>
  <c r="M92" i="2"/>
  <c r="M518" i="2"/>
  <c r="M102" i="2"/>
  <c r="M417" i="2"/>
  <c r="M466" i="2"/>
  <c r="M250" i="2"/>
  <c r="M234" i="2"/>
  <c r="M427" i="2"/>
  <c r="M502" i="2"/>
  <c r="M215" i="2"/>
  <c r="M114" i="2"/>
  <c r="M522" i="2"/>
  <c r="M486" i="2"/>
  <c r="M186" i="2"/>
  <c r="M73" i="2"/>
  <c r="M472" i="2"/>
  <c r="M474" i="2"/>
  <c r="M195" i="2"/>
  <c r="M187" i="2"/>
  <c r="M208" i="2"/>
  <c r="M251" i="2"/>
  <c r="M361" i="2"/>
  <c r="M432" i="2"/>
  <c r="M244" i="2"/>
  <c r="M342" i="2"/>
  <c r="M335" i="2"/>
  <c r="M109" i="2"/>
  <c r="M393" i="2"/>
  <c r="M418" i="2"/>
  <c r="M202" i="2"/>
  <c r="M32" i="2"/>
  <c r="M127" i="2"/>
  <c r="M375" i="2"/>
  <c r="M201" i="2"/>
  <c r="M485" i="2"/>
  <c r="M175" i="2"/>
  <c r="M490" i="2"/>
  <c r="M503" i="2"/>
  <c r="M75" i="2"/>
  <c r="M153" i="2"/>
  <c r="M529" i="2"/>
  <c r="M217" i="2"/>
  <c r="M43" i="2"/>
  <c r="M267" i="2"/>
  <c r="M100" i="2"/>
  <c r="M413" i="2"/>
  <c r="M196" i="2"/>
  <c r="M403" i="2"/>
  <c r="M354" i="2"/>
  <c r="M324" i="2"/>
  <c r="M136" i="2"/>
  <c r="M25" i="2"/>
  <c r="M438" i="2"/>
  <c r="M425" i="2"/>
  <c r="M328" i="2"/>
  <c r="M66" i="2"/>
  <c r="M116" i="2"/>
  <c r="M362" i="2"/>
  <c r="M261" i="2"/>
  <c r="M107" i="2"/>
  <c r="M46" i="2"/>
  <c r="M9" i="2"/>
  <c r="M252" i="2"/>
  <c r="M348" i="2"/>
  <c r="M112" i="2"/>
  <c r="M481" i="2"/>
  <c r="M439" i="2"/>
  <c r="M60" i="2"/>
  <c r="M178" i="2"/>
  <c r="M333" i="2"/>
  <c r="M395" i="2"/>
  <c r="M184" i="2"/>
  <c r="M254" i="2"/>
  <c r="M245" i="2"/>
  <c r="M509" i="2"/>
  <c r="M414" i="2"/>
  <c r="M391" i="2"/>
  <c r="M232" i="2"/>
  <c r="M441" i="2"/>
  <c r="M158" i="2"/>
  <c r="M47" i="2"/>
  <c r="M103" i="2"/>
  <c r="M530" i="2"/>
  <c r="M493" i="2"/>
  <c r="M198" i="2"/>
  <c r="M284" i="2"/>
  <c r="M471" i="2"/>
  <c r="M12" i="2"/>
  <c r="M312" i="2"/>
  <c r="M176" i="2"/>
  <c r="M211" i="2"/>
  <c r="M454" i="2"/>
  <c r="M138" i="2"/>
  <c r="M115" i="2"/>
  <c r="M205" i="2"/>
  <c r="M199" i="2"/>
  <c r="M58" i="2"/>
  <c r="M289" i="2"/>
  <c r="M497" i="2"/>
  <c r="M56" i="2"/>
  <c r="M371" i="2"/>
  <c r="M513" i="2"/>
  <c r="M451" i="2"/>
  <c r="M275" i="2"/>
  <c r="M302" i="2"/>
  <c r="M39" i="2"/>
  <c r="M237" i="2"/>
  <c r="M52" i="2"/>
  <c r="M336" i="2"/>
  <c r="M394" i="2"/>
  <c r="M67" i="2"/>
  <c r="M430" i="2"/>
  <c r="M203" i="2"/>
  <c r="M453" i="2"/>
  <c r="M207" i="2"/>
  <c r="M329" i="2"/>
  <c r="M332" i="2"/>
  <c r="M385" i="2"/>
  <c r="M20" i="2"/>
  <c r="M144" i="2"/>
  <c r="M49" i="2"/>
  <c r="M70" i="2"/>
  <c r="M487" i="2"/>
  <c r="M125" i="2"/>
  <c r="M135" i="2"/>
  <c r="M253" i="2"/>
  <c r="M126" i="2"/>
  <c r="M225" i="2"/>
  <c r="M351" i="2"/>
  <c r="M249" i="2"/>
  <c r="M458" i="2"/>
  <c r="M323" i="2"/>
  <c r="M33" i="2"/>
  <c r="M291" i="2"/>
  <c r="M141" i="2"/>
  <c r="M212" i="2"/>
  <c r="M378" i="2"/>
  <c r="M287" i="2"/>
  <c r="M390" i="2"/>
  <c r="M227" i="2"/>
  <c r="M190" i="2"/>
  <c r="M177" i="2"/>
  <c r="M210" i="2"/>
  <c r="M406" i="2"/>
  <c r="M30" i="2"/>
  <c r="M459" i="2"/>
  <c r="M188" i="2"/>
  <c r="M293" i="2"/>
  <c r="M421" i="2"/>
  <c r="M272" i="2"/>
  <c r="M341" i="2"/>
  <c r="M363" i="2"/>
  <c r="M515" i="2"/>
  <c r="M282" i="2"/>
  <c r="M444" i="2"/>
  <c r="M376" i="2"/>
  <c r="M344" i="2"/>
  <c r="M505" i="2"/>
  <c r="M377" i="2"/>
  <c r="M407" i="2"/>
  <c r="M41" i="2"/>
  <c r="M514" i="2"/>
  <c r="M360" i="2"/>
  <c r="M480" i="2"/>
  <c r="M200" i="2"/>
  <c r="M317" i="2"/>
  <c r="M345" i="2"/>
  <c r="M181" i="2"/>
  <c r="M150" i="2"/>
  <c r="M45" i="2"/>
  <c r="M416" i="2"/>
  <c r="M87" i="2"/>
  <c r="M241" i="2"/>
  <c r="M130" i="2"/>
  <c r="M170" i="2"/>
  <c r="M440" i="2"/>
  <c r="M468" i="2"/>
  <c r="M146" i="2"/>
  <c r="M194" i="2"/>
  <c r="M298" i="2"/>
  <c r="M14" i="2"/>
  <c r="M455" i="2"/>
  <c r="M154" i="2"/>
  <c r="M307" i="2"/>
  <c r="M319" i="2"/>
  <c r="M6" i="2"/>
  <c r="M93" i="2"/>
  <c r="M279" i="2"/>
  <c r="M84" i="2"/>
  <c r="M357" i="2"/>
  <c r="M37" i="2"/>
  <c r="M256" i="2"/>
  <c r="M264" i="2"/>
  <c r="M465" i="2"/>
  <c r="M381" i="2"/>
  <c r="M63" i="2"/>
  <c r="M470" i="2"/>
  <c r="M17" i="2"/>
  <c r="M65" i="2"/>
  <c r="M229" i="2"/>
  <c r="M169" i="2"/>
  <c r="M321" i="2"/>
  <c r="M224" i="2"/>
  <c r="M189" i="2"/>
  <c r="M366" i="2"/>
  <c r="M222" i="2"/>
  <c r="M268" i="2"/>
  <c r="M263" i="2"/>
  <c r="M226" i="2"/>
  <c r="M346" i="2"/>
  <c r="M309" i="2"/>
  <c r="M294" i="2"/>
  <c r="M489" i="2"/>
  <c r="M392" i="2"/>
  <c r="M273" i="2"/>
  <c r="M193" i="2"/>
  <c r="M521" i="2"/>
  <c r="M300" i="2"/>
  <c r="M408" i="2"/>
  <c r="M276" i="2"/>
  <c r="M69" i="2"/>
  <c r="M35" i="2"/>
  <c r="M355" i="2"/>
  <c r="M139" i="2"/>
  <c r="M248" i="2"/>
  <c r="M330" i="2"/>
  <c r="M383" i="2"/>
  <c r="M173" i="2"/>
  <c r="M297" i="2"/>
  <c r="M484" i="2"/>
  <c r="M218" i="2"/>
  <c r="M183" i="2"/>
  <c r="M496" i="2"/>
  <c r="M89" i="2"/>
  <c r="M356" i="2"/>
  <c r="M172" i="2"/>
  <c r="M231" i="2"/>
  <c r="M122" i="2"/>
  <c r="M123" i="2"/>
  <c r="M374" i="2"/>
  <c r="M133" i="2"/>
  <c r="M401" i="2"/>
  <c r="M338" i="2"/>
  <c r="M303" i="2"/>
  <c r="M131" i="2"/>
  <c r="M68" i="2"/>
  <c r="M386" i="2"/>
  <c r="M85" i="2"/>
  <c r="M368" i="2"/>
  <c r="M180" i="2"/>
  <c r="M179" i="2"/>
  <c r="M182" i="2"/>
  <c r="M148" i="2"/>
  <c r="M396" i="2"/>
  <c r="M113" i="2"/>
  <c r="M334" i="2"/>
  <c r="M16" i="2"/>
  <c r="M96" i="2"/>
  <c r="M243" i="2"/>
  <c r="M258" i="2"/>
  <c r="M28" i="2"/>
  <c r="M404" i="2"/>
  <c r="M331" i="2"/>
  <c r="M42" i="2"/>
  <c r="M296" i="2"/>
  <c r="M281" i="2"/>
  <c r="M271" i="2"/>
  <c r="M79" i="2"/>
  <c r="M306" i="2"/>
  <c r="M147" i="2"/>
  <c r="M61" i="2"/>
  <c r="M350" i="2"/>
  <c r="M59" i="2"/>
  <c r="M379" i="2"/>
  <c r="M128" i="2"/>
  <c r="M86" i="2"/>
  <c r="M81" i="2"/>
  <c r="M94" i="2"/>
  <c r="M10" i="2"/>
  <c r="M247" i="2"/>
  <c r="M491" i="2"/>
  <c r="M467" i="2"/>
  <c r="M105" i="2"/>
  <c r="M156" i="2"/>
  <c r="M367" i="2"/>
  <c r="M446" i="2"/>
  <c r="M151" i="2"/>
  <c r="M5" i="2"/>
  <c r="M318" i="2"/>
  <c r="M36" i="2"/>
  <c r="M266" i="2"/>
  <c r="M34" i="2"/>
  <c r="M525" i="2"/>
  <c r="M447" i="2"/>
  <c r="M325" i="2"/>
  <c r="M340" i="2"/>
  <c r="M426" i="2"/>
  <c r="M98" i="2"/>
  <c r="M358" i="2"/>
  <c r="M511" i="2"/>
  <c r="M15" i="2"/>
  <c r="M149" i="2"/>
  <c r="M382" i="2"/>
  <c r="M134" i="2"/>
  <c r="M260" i="2"/>
  <c r="M343" i="2"/>
  <c r="M397" i="2"/>
  <c r="M411" i="2"/>
  <c r="M283" i="2"/>
  <c r="M255" i="2"/>
  <c r="M415" i="2"/>
  <c r="M155" i="2"/>
  <c r="M483" i="2"/>
  <c r="M473" i="2"/>
  <c r="M292" i="2"/>
  <c r="M8" i="2"/>
  <c r="M400" i="2"/>
  <c r="M55" i="2"/>
  <c r="M450" i="2"/>
  <c r="M13" i="2"/>
  <c r="M288" i="2"/>
  <c r="M423" i="2"/>
  <c r="M412" i="2"/>
  <c r="M91" i="2"/>
  <c r="M219" i="2"/>
  <c r="M419" i="2"/>
  <c r="K157" i="2"/>
  <c r="K142" i="2"/>
  <c r="K53" i="2"/>
  <c r="K162" i="2"/>
  <c r="K269" i="2"/>
  <c r="K326" i="2"/>
  <c r="K280" i="2"/>
  <c r="K504" i="2"/>
  <c r="K22" i="2"/>
  <c r="K132" i="2"/>
  <c r="K435" i="2"/>
  <c r="K370" i="2"/>
  <c r="K520" i="2"/>
  <c r="K431" i="2"/>
  <c r="K23" i="2"/>
  <c r="K161" i="2"/>
  <c r="K78" i="2"/>
  <c r="K239" i="2"/>
  <c r="K77" i="2"/>
  <c r="K7" i="2"/>
  <c r="K118" i="2"/>
  <c r="K460" i="2"/>
  <c r="K527" i="2"/>
  <c r="K76" i="2"/>
  <c r="K185" i="2"/>
  <c r="K506" i="2"/>
  <c r="K524" i="2"/>
  <c r="K82" i="2"/>
  <c r="K209" i="2"/>
  <c r="K462" i="2"/>
  <c r="K191" i="2"/>
  <c r="K501" i="2"/>
  <c r="K322" i="2"/>
  <c r="K507" i="2"/>
  <c r="K230" i="2"/>
  <c r="K456" i="2"/>
  <c r="K240" i="2"/>
  <c r="K402" i="2"/>
  <c r="K163" i="2"/>
  <c r="K495" i="2"/>
  <c r="K206" i="2"/>
  <c r="K48" i="2"/>
  <c r="K80" i="2"/>
  <c r="K311" i="2"/>
  <c r="K233" i="2"/>
  <c r="K262" i="2"/>
  <c r="K508" i="2"/>
  <c r="K477" i="2"/>
  <c r="K449" i="2"/>
  <c r="K373" i="2"/>
  <c r="K305" i="2"/>
  <c r="K310" i="2"/>
  <c r="K469" i="2"/>
  <c r="K274" i="2"/>
  <c r="K517" i="2"/>
  <c r="K516" i="2"/>
  <c r="K228" i="2"/>
  <c r="K349" i="2"/>
  <c r="K499" i="2"/>
  <c r="K18" i="2"/>
  <c r="K429" i="2"/>
  <c r="K64" i="2"/>
  <c r="K213" i="2"/>
  <c r="K83" i="2"/>
  <c r="K236" i="2"/>
  <c r="K437" i="2"/>
  <c r="K119" i="2"/>
  <c r="K380" i="2"/>
  <c r="K433" i="2"/>
  <c r="K166" i="2"/>
  <c r="K124" i="2"/>
  <c r="K526" i="2"/>
  <c r="K54" i="2"/>
  <c r="K476" i="2"/>
  <c r="K304" i="2"/>
  <c r="K482" i="2"/>
  <c r="K192" i="2"/>
  <c r="K494" i="2"/>
  <c r="K145" i="2"/>
  <c r="K314" i="2"/>
  <c r="K295" i="2"/>
  <c r="K398" i="2"/>
  <c r="K523" i="2"/>
  <c r="K51" i="2"/>
  <c r="K159" i="2"/>
  <c r="K434" i="2"/>
  <c r="K223" i="2"/>
  <c r="K301" i="2"/>
  <c r="K74" i="2"/>
  <c r="K2" i="2"/>
  <c r="K290" i="2"/>
  <c r="K448" i="2"/>
  <c r="K316" i="2"/>
  <c r="K353" i="2"/>
  <c r="K171" i="2"/>
  <c r="K464" i="2"/>
  <c r="K512" i="2"/>
  <c r="K479" i="2"/>
  <c r="K409" i="2"/>
  <c r="K97" i="2"/>
  <c r="K457" i="2"/>
  <c r="K38" i="2"/>
  <c r="K121" i="2"/>
  <c r="K238" i="2"/>
  <c r="K510" i="2"/>
  <c r="K461" i="2"/>
  <c r="K315" i="2"/>
  <c r="K21" i="2"/>
  <c r="K140" i="2"/>
  <c r="K492" i="2"/>
  <c r="K19" i="2"/>
  <c r="K95" i="2"/>
  <c r="K57" i="2"/>
  <c r="K320" i="2"/>
  <c r="K165" i="2"/>
  <c r="K50" i="2"/>
  <c r="K365" i="2"/>
  <c r="K286" i="2"/>
  <c r="K500" i="2"/>
  <c r="K528" i="2"/>
  <c r="K101" i="2"/>
  <c r="K532" i="2"/>
  <c r="K278" i="2"/>
  <c r="K4" i="2"/>
  <c r="K72" i="2"/>
  <c r="K337" i="2"/>
  <c r="K257" i="2"/>
  <c r="K27" i="2"/>
  <c r="K488" i="2"/>
  <c r="K106" i="2"/>
  <c r="K29" i="2"/>
  <c r="K197" i="2"/>
  <c r="K259" i="2"/>
  <c r="K26" i="2"/>
  <c r="K443" i="2"/>
  <c r="K475" i="2"/>
  <c r="K478" i="2"/>
  <c r="K327" i="2"/>
  <c r="K31" i="2"/>
  <c r="K388" i="2"/>
  <c r="K399" i="2"/>
  <c r="K174" i="2"/>
  <c r="K265" i="2"/>
  <c r="K108" i="2"/>
  <c r="K339" i="2"/>
  <c r="K40" i="2"/>
  <c r="K384" i="2"/>
  <c r="K352" i="2"/>
  <c r="K111" i="2"/>
  <c r="K442" i="2"/>
  <c r="K160" i="2"/>
  <c r="K387" i="2"/>
  <c r="K285" i="2"/>
  <c r="K220" i="2"/>
  <c r="K152" i="2"/>
  <c r="K120" i="2"/>
  <c r="K164" i="2"/>
  <c r="K99" i="2"/>
  <c r="K11" i="2"/>
  <c r="K117" i="2"/>
  <c r="K88" i="2"/>
  <c r="K44" i="2"/>
  <c r="K235" i="2"/>
  <c r="K143" i="2"/>
  <c r="K347" i="2"/>
  <c r="K463" i="2"/>
  <c r="K445" i="2"/>
  <c r="K313" i="2"/>
  <c r="K71" i="2"/>
  <c r="K498" i="2"/>
  <c r="K242" i="2"/>
  <c r="K422" i="2"/>
  <c r="K129" i="2"/>
  <c r="K221" i="2"/>
  <c r="K214" i="2"/>
  <c r="K62" i="2"/>
  <c r="K137" i="2"/>
  <c r="K308" i="2"/>
  <c r="K299" i="2"/>
  <c r="K410" i="2"/>
  <c r="K428" i="2"/>
  <c r="K24" i="2"/>
  <c r="K364" i="2"/>
  <c r="K369" i="2"/>
  <c r="K424" i="2"/>
  <c r="K531" i="2"/>
  <c r="K246" i="2"/>
  <c r="K519" i="2"/>
  <c r="K420" i="2"/>
  <c r="K436" i="2"/>
  <c r="K90" i="2"/>
  <c r="K372" i="2"/>
  <c r="K204" i="2"/>
  <c r="K452" i="2"/>
  <c r="K168" i="2"/>
  <c r="K110" i="2"/>
  <c r="K405" i="2"/>
  <c r="K216" i="2"/>
  <c r="K104" i="2"/>
  <c r="K3" i="2"/>
  <c r="K270" i="2"/>
  <c r="K277" i="2"/>
  <c r="K359" i="2"/>
  <c r="K167" i="2"/>
  <c r="K389" i="2"/>
  <c r="K92" i="2"/>
  <c r="K518" i="2"/>
  <c r="K102" i="2"/>
  <c r="K417" i="2"/>
  <c r="K466" i="2"/>
  <c r="K250" i="2"/>
  <c r="K234" i="2"/>
  <c r="K427" i="2"/>
  <c r="K502" i="2"/>
  <c r="K215" i="2"/>
  <c r="K114" i="2"/>
  <c r="K522" i="2"/>
  <c r="K486" i="2"/>
  <c r="K186" i="2"/>
  <c r="K73" i="2"/>
  <c r="K472" i="2"/>
  <c r="K474" i="2"/>
  <c r="K195" i="2"/>
  <c r="K187" i="2"/>
  <c r="K208" i="2"/>
  <c r="K251" i="2"/>
  <c r="K361" i="2"/>
  <c r="K432" i="2"/>
  <c r="K244" i="2"/>
  <c r="K342" i="2"/>
  <c r="K335" i="2"/>
  <c r="K109" i="2"/>
  <c r="K393" i="2"/>
  <c r="K418" i="2"/>
  <c r="K202" i="2"/>
  <c r="K32" i="2"/>
  <c r="K127" i="2"/>
  <c r="K375" i="2"/>
  <c r="K201" i="2"/>
  <c r="K485" i="2"/>
  <c r="K175" i="2"/>
  <c r="K490" i="2"/>
  <c r="K503" i="2"/>
  <c r="K75" i="2"/>
  <c r="K153" i="2"/>
  <c r="K529" i="2"/>
  <c r="K217" i="2"/>
  <c r="K43" i="2"/>
  <c r="K267" i="2"/>
  <c r="K100" i="2"/>
  <c r="K413" i="2"/>
  <c r="K196" i="2"/>
  <c r="K403" i="2"/>
  <c r="K354" i="2"/>
  <c r="K324" i="2"/>
  <c r="K136" i="2"/>
  <c r="K25" i="2"/>
  <c r="K438" i="2"/>
  <c r="K425" i="2"/>
  <c r="K328" i="2"/>
  <c r="K66" i="2"/>
  <c r="K116" i="2"/>
  <c r="K362" i="2"/>
  <c r="K261" i="2"/>
  <c r="K107" i="2"/>
  <c r="K46" i="2"/>
  <c r="K9" i="2"/>
  <c r="K252" i="2"/>
  <c r="K348" i="2"/>
  <c r="K112" i="2"/>
  <c r="K481" i="2"/>
  <c r="K439" i="2"/>
  <c r="K60" i="2"/>
  <c r="K178" i="2"/>
  <c r="K333" i="2"/>
  <c r="K395" i="2"/>
  <c r="K184" i="2"/>
  <c r="K254" i="2"/>
  <c r="K245" i="2"/>
  <c r="K509" i="2"/>
  <c r="K414" i="2"/>
  <c r="K391" i="2"/>
  <c r="K232" i="2"/>
  <c r="K441" i="2"/>
  <c r="K158" i="2"/>
  <c r="K47" i="2"/>
  <c r="K103" i="2"/>
  <c r="K530" i="2"/>
  <c r="K493" i="2"/>
  <c r="K198" i="2"/>
  <c r="K284" i="2"/>
  <c r="K471" i="2"/>
  <c r="K12" i="2"/>
  <c r="K312" i="2"/>
  <c r="K176" i="2"/>
  <c r="K211" i="2"/>
  <c r="K454" i="2"/>
  <c r="K138" i="2"/>
  <c r="K115" i="2"/>
  <c r="K205" i="2"/>
  <c r="K199" i="2"/>
  <c r="K58" i="2"/>
  <c r="K289" i="2"/>
  <c r="K497" i="2"/>
  <c r="K56" i="2"/>
  <c r="K371" i="2"/>
  <c r="K513" i="2"/>
  <c r="K451" i="2"/>
  <c r="K275" i="2"/>
  <c r="K302" i="2"/>
  <c r="K39" i="2"/>
  <c r="K237" i="2"/>
  <c r="K52" i="2"/>
  <c r="K336" i="2"/>
  <c r="K394" i="2"/>
  <c r="K67" i="2"/>
  <c r="K430" i="2"/>
  <c r="K203" i="2"/>
  <c r="K453" i="2"/>
  <c r="K207" i="2"/>
  <c r="K329" i="2"/>
  <c r="K332" i="2"/>
  <c r="K385" i="2"/>
  <c r="K20" i="2"/>
  <c r="K144" i="2"/>
  <c r="K49" i="2"/>
  <c r="K70" i="2"/>
  <c r="K487" i="2"/>
  <c r="K125" i="2"/>
  <c r="K135" i="2"/>
  <c r="K253" i="2"/>
  <c r="K126" i="2"/>
  <c r="K225" i="2"/>
  <c r="K351" i="2"/>
  <c r="K249" i="2"/>
  <c r="K458" i="2"/>
  <c r="K323" i="2"/>
  <c r="K33" i="2"/>
  <c r="K291" i="2"/>
  <c r="K141" i="2"/>
  <c r="K212" i="2"/>
  <c r="K378" i="2"/>
  <c r="K287" i="2"/>
  <c r="K390" i="2"/>
  <c r="K227" i="2"/>
  <c r="K190" i="2"/>
  <c r="K177" i="2"/>
  <c r="K210" i="2"/>
  <c r="K406" i="2"/>
  <c r="K30" i="2"/>
  <c r="K459" i="2"/>
  <c r="K188" i="2"/>
  <c r="K293" i="2"/>
  <c r="K421" i="2"/>
  <c r="K272" i="2"/>
  <c r="K341" i="2"/>
  <c r="K363" i="2"/>
  <c r="K515" i="2"/>
  <c r="K282" i="2"/>
  <c r="K444" i="2"/>
  <c r="K376" i="2"/>
  <c r="K344" i="2"/>
  <c r="K505" i="2"/>
  <c r="K377" i="2"/>
  <c r="K407" i="2"/>
  <c r="K41" i="2"/>
  <c r="K514" i="2"/>
  <c r="K360" i="2"/>
  <c r="K480" i="2"/>
  <c r="K200" i="2"/>
  <c r="K317" i="2"/>
  <c r="K345" i="2"/>
  <c r="K181" i="2"/>
  <c r="K150" i="2"/>
  <c r="K45" i="2"/>
  <c r="K416" i="2"/>
  <c r="K87" i="2"/>
  <c r="K241" i="2"/>
  <c r="K130" i="2"/>
  <c r="K170" i="2"/>
  <c r="K440" i="2"/>
  <c r="K468" i="2"/>
  <c r="K146" i="2"/>
  <c r="K194" i="2"/>
  <c r="K298" i="2"/>
  <c r="K14" i="2"/>
  <c r="K455" i="2"/>
  <c r="K154" i="2"/>
  <c r="K307" i="2"/>
  <c r="K319" i="2"/>
  <c r="K6" i="2"/>
  <c r="K93" i="2"/>
  <c r="K279" i="2"/>
  <c r="K84" i="2"/>
  <c r="K357" i="2"/>
  <c r="K37" i="2"/>
  <c r="K256" i="2"/>
  <c r="K264" i="2"/>
  <c r="K465" i="2"/>
  <c r="K381" i="2"/>
  <c r="K63" i="2"/>
  <c r="K470" i="2"/>
  <c r="K17" i="2"/>
  <c r="K65" i="2"/>
  <c r="K229" i="2"/>
  <c r="K169" i="2"/>
  <c r="K321" i="2"/>
  <c r="K224" i="2"/>
  <c r="K189" i="2"/>
  <c r="K366" i="2"/>
  <c r="K222" i="2"/>
  <c r="K268" i="2"/>
  <c r="K263" i="2"/>
  <c r="K226" i="2"/>
  <c r="K346" i="2"/>
  <c r="K309" i="2"/>
  <c r="K294" i="2"/>
  <c r="K489" i="2"/>
  <c r="K392" i="2"/>
  <c r="K273" i="2"/>
  <c r="K193" i="2"/>
  <c r="K521" i="2"/>
  <c r="K300" i="2"/>
  <c r="K408" i="2"/>
  <c r="K276" i="2"/>
  <c r="K69" i="2"/>
  <c r="K35" i="2"/>
  <c r="K355" i="2"/>
  <c r="K139" i="2"/>
  <c r="K248" i="2"/>
  <c r="K330" i="2"/>
  <c r="K383" i="2"/>
  <c r="K173" i="2"/>
  <c r="K297" i="2"/>
  <c r="K484" i="2"/>
  <c r="K218" i="2"/>
  <c r="K183" i="2"/>
  <c r="K496" i="2"/>
  <c r="K89" i="2"/>
  <c r="K356" i="2"/>
  <c r="K172" i="2"/>
  <c r="K231" i="2"/>
  <c r="K122" i="2"/>
  <c r="K123" i="2"/>
  <c r="K374" i="2"/>
  <c r="K133" i="2"/>
  <c r="K401" i="2"/>
  <c r="K338" i="2"/>
  <c r="K303" i="2"/>
  <c r="K131" i="2"/>
  <c r="K68" i="2"/>
  <c r="K386" i="2"/>
  <c r="K85" i="2"/>
  <c r="K368" i="2"/>
  <c r="K180" i="2"/>
  <c r="K179" i="2"/>
  <c r="K182" i="2"/>
  <c r="K148" i="2"/>
  <c r="K396" i="2"/>
  <c r="K113" i="2"/>
  <c r="K334" i="2"/>
  <c r="K16" i="2"/>
  <c r="K96" i="2"/>
  <c r="K243" i="2"/>
  <c r="K258" i="2"/>
  <c r="K28" i="2"/>
  <c r="K404" i="2"/>
  <c r="K331" i="2"/>
  <c r="K42" i="2"/>
  <c r="K296" i="2"/>
  <c r="K281" i="2"/>
  <c r="K271" i="2"/>
  <c r="K79" i="2"/>
  <c r="K306" i="2"/>
  <c r="K147" i="2"/>
  <c r="K61" i="2"/>
  <c r="K350" i="2"/>
  <c r="K59" i="2"/>
  <c r="K379" i="2"/>
  <c r="K128" i="2"/>
  <c r="K86" i="2"/>
  <c r="K81" i="2"/>
  <c r="K94" i="2"/>
  <c r="K10" i="2"/>
  <c r="K247" i="2"/>
  <c r="K491" i="2"/>
  <c r="K467" i="2"/>
  <c r="K105" i="2"/>
  <c r="K156" i="2"/>
  <c r="K367" i="2"/>
  <c r="K446" i="2"/>
  <c r="K151" i="2"/>
  <c r="K5" i="2"/>
  <c r="K318" i="2"/>
  <c r="K36" i="2"/>
  <c r="K266" i="2"/>
  <c r="K34" i="2"/>
  <c r="K525" i="2"/>
  <c r="K447" i="2"/>
  <c r="K325" i="2"/>
  <c r="K340" i="2"/>
  <c r="K426" i="2"/>
  <c r="K98" i="2"/>
  <c r="K358" i="2"/>
  <c r="K511" i="2"/>
  <c r="K15" i="2"/>
  <c r="K149" i="2"/>
  <c r="K382" i="2"/>
  <c r="K134" i="2"/>
  <c r="K260" i="2"/>
  <c r="K343" i="2"/>
  <c r="K397" i="2"/>
  <c r="K411" i="2"/>
  <c r="K283" i="2"/>
  <c r="K255" i="2"/>
  <c r="K415" i="2"/>
  <c r="K155" i="2"/>
  <c r="K483" i="2"/>
  <c r="K473" i="2"/>
  <c r="K292" i="2"/>
  <c r="K8" i="2"/>
  <c r="K400" i="2"/>
  <c r="K55" i="2"/>
  <c r="K450" i="2"/>
  <c r="K13" i="2"/>
  <c r="K288" i="2"/>
  <c r="K423" i="2"/>
  <c r="K412" i="2"/>
  <c r="K91" i="2"/>
  <c r="K219" i="2"/>
  <c r="K419" i="2"/>
  <c r="I157" i="2"/>
  <c r="I142" i="2"/>
  <c r="I53" i="2"/>
  <c r="I162" i="2"/>
  <c r="I269" i="2"/>
  <c r="I326" i="2"/>
  <c r="I280" i="2"/>
  <c r="I504" i="2"/>
  <c r="I22" i="2"/>
  <c r="I132" i="2"/>
  <c r="I435" i="2"/>
  <c r="I370" i="2"/>
  <c r="I520" i="2"/>
  <c r="I431" i="2"/>
  <c r="I23" i="2"/>
  <c r="I161" i="2"/>
  <c r="I78" i="2"/>
  <c r="I239" i="2"/>
  <c r="I77" i="2"/>
  <c r="I7" i="2"/>
  <c r="I118" i="2"/>
  <c r="I460" i="2"/>
  <c r="I527" i="2"/>
  <c r="I76" i="2"/>
  <c r="I185" i="2"/>
  <c r="I506" i="2"/>
  <c r="I524" i="2"/>
  <c r="I82" i="2"/>
  <c r="I209" i="2"/>
  <c r="I462" i="2"/>
  <c r="I191" i="2"/>
  <c r="I501" i="2"/>
  <c r="I322" i="2"/>
  <c r="I507" i="2"/>
  <c r="I230" i="2"/>
  <c r="I456" i="2"/>
  <c r="I240" i="2"/>
  <c r="I402" i="2"/>
  <c r="I163" i="2"/>
  <c r="I495" i="2"/>
  <c r="I206" i="2"/>
  <c r="I48" i="2"/>
  <c r="I80" i="2"/>
  <c r="I311" i="2"/>
  <c r="I233" i="2"/>
  <c r="I262" i="2"/>
  <c r="I508" i="2"/>
  <c r="I477" i="2"/>
  <c r="I449" i="2"/>
  <c r="I373" i="2"/>
  <c r="I305" i="2"/>
  <c r="I310" i="2"/>
  <c r="I469" i="2"/>
  <c r="I274" i="2"/>
  <c r="I517" i="2"/>
  <c r="I516" i="2"/>
  <c r="I228" i="2"/>
  <c r="I349" i="2"/>
  <c r="I499" i="2"/>
  <c r="I18" i="2"/>
  <c r="I429" i="2"/>
  <c r="I64" i="2"/>
  <c r="I213" i="2"/>
  <c r="I83" i="2"/>
  <c r="I236" i="2"/>
  <c r="I437" i="2"/>
  <c r="I119" i="2"/>
  <c r="I380" i="2"/>
  <c r="I433" i="2"/>
  <c r="I166" i="2"/>
  <c r="I124" i="2"/>
  <c r="I526" i="2"/>
  <c r="I54" i="2"/>
  <c r="I476" i="2"/>
  <c r="I304" i="2"/>
  <c r="I482" i="2"/>
  <c r="I192" i="2"/>
  <c r="I494" i="2"/>
  <c r="I145" i="2"/>
  <c r="I314" i="2"/>
  <c r="I295" i="2"/>
  <c r="I398" i="2"/>
  <c r="I523" i="2"/>
  <c r="I51" i="2"/>
  <c r="I159" i="2"/>
  <c r="I434" i="2"/>
  <c r="I223" i="2"/>
  <c r="I301" i="2"/>
  <c r="I74" i="2"/>
  <c r="I2" i="2"/>
  <c r="I290" i="2"/>
  <c r="I448" i="2"/>
  <c r="I316" i="2"/>
  <c r="I353" i="2"/>
  <c r="I171" i="2"/>
  <c r="I464" i="2"/>
  <c r="I512" i="2"/>
  <c r="I479" i="2"/>
  <c r="I409" i="2"/>
  <c r="I97" i="2"/>
  <c r="I457" i="2"/>
  <c r="I38" i="2"/>
  <c r="I121" i="2"/>
  <c r="I238" i="2"/>
  <c r="I510" i="2"/>
  <c r="I461" i="2"/>
  <c r="I315" i="2"/>
  <c r="I21" i="2"/>
  <c r="I140" i="2"/>
  <c r="I492" i="2"/>
  <c r="I19" i="2"/>
  <c r="I95" i="2"/>
  <c r="I57" i="2"/>
  <c r="I320" i="2"/>
  <c r="I165" i="2"/>
  <c r="I50" i="2"/>
  <c r="I365" i="2"/>
  <c r="I286" i="2"/>
  <c r="I500" i="2"/>
  <c r="I528" i="2"/>
  <c r="I101" i="2"/>
  <c r="I532" i="2"/>
  <c r="I278" i="2"/>
  <c r="I4" i="2"/>
  <c r="I72" i="2"/>
  <c r="I337" i="2"/>
  <c r="I257" i="2"/>
  <c r="I27" i="2"/>
  <c r="I488" i="2"/>
  <c r="I106" i="2"/>
  <c r="I29" i="2"/>
  <c r="I197" i="2"/>
  <c r="I259" i="2"/>
  <c r="I26" i="2"/>
  <c r="I443" i="2"/>
  <c r="I475" i="2"/>
  <c r="I478" i="2"/>
  <c r="I327" i="2"/>
  <c r="I31" i="2"/>
  <c r="I388" i="2"/>
  <c r="I399" i="2"/>
  <c r="I174" i="2"/>
  <c r="I265" i="2"/>
  <c r="I108" i="2"/>
  <c r="I339" i="2"/>
  <c r="I40" i="2"/>
  <c r="I384" i="2"/>
  <c r="I352" i="2"/>
  <c r="I111" i="2"/>
  <c r="I442" i="2"/>
  <c r="I160" i="2"/>
  <c r="I387" i="2"/>
  <c r="I285" i="2"/>
  <c r="I220" i="2"/>
  <c r="I152" i="2"/>
  <c r="I120" i="2"/>
  <c r="I164" i="2"/>
  <c r="I99" i="2"/>
  <c r="I11" i="2"/>
  <c r="I117" i="2"/>
  <c r="I88" i="2"/>
  <c r="I44" i="2"/>
  <c r="I235" i="2"/>
  <c r="I143" i="2"/>
  <c r="I347" i="2"/>
  <c r="I463" i="2"/>
  <c r="I445" i="2"/>
  <c r="I313" i="2"/>
  <c r="I71" i="2"/>
  <c r="I498" i="2"/>
  <c r="I242" i="2"/>
  <c r="I422" i="2"/>
  <c r="I129" i="2"/>
  <c r="I221" i="2"/>
  <c r="I214" i="2"/>
  <c r="I62" i="2"/>
  <c r="I137" i="2"/>
  <c r="I308" i="2"/>
  <c r="I299" i="2"/>
  <c r="I410" i="2"/>
  <c r="I428" i="2"/>
  <c r="I24" i="2"/>
  <c r="I364" i="2"/>
  <c r="I369" i="2"/>
  <c r="I424" i="2"/>
  <c r="I531" i="2"/>
  <c r="I246" i="2"/>
  <c r="I519" i="2"/>
  <c r="I420" i="2"/>
  <c r="I436" i="2"/>
  <c r="I90" i="2"/>
  <c r="I372" i="2"/>
  <c r="I204" i="2"/>
  <c r="I452" i="2"/>
  <c r="I168" i="2"/>
  <c r="I110" i="2"/>
  <c r="I405" i="2"/>
  <c r="I216" i="2"/>
  <c r="I104" i="2"/>
  <c r="I3" i="2"/>
  <c r="I270" i="2"/>
  <c r="I277" i="2"/>
  <c r="I359" i="2"/>
  <c r="I167" i="2"/>
  <c r="I389" i="2"/>
  <c r="I92" i="2"/>
  <c r="I518" i="2"/>
  <c r="I102" i="2"/>
  <c r="I417" i="2"/>
  <c r="I466" i="2"/>
  <c r="I250" i="2"/>
  <c r="I234" i="2"/>
  <c r="I427" i="2"/>
  <c r="I502" i="2"/>
  <c r="I215" i="2"/>
  <c r="I114" i="2"/>
  <c r="I522" i="2"/>
  <c r="I486" i="2"/>
  <c r="I186" i="2"/>
  <c r="I73" i="2"/>
  <c r="I472" i="2"/>
  <c r="I474" i="2"/>
  <c r="I195" i="2"/>
  <c r="I187" i="2"/>
  <c r="I208" i="2"/>
  <c r="I251" i="2"/>
  <c r="I361" i="2"/>
  <c r="I432" i="2"/>
  <c r="I244" i="2"/>
  <c r="I342" i="2"/>
  <c r="I335" i="2"/>
  <c r="I109" i="2"/>
  <c r="I393" i="2"/>
  <c r="I418" i="2"/>
  <c r="I202" i="2"/>
  <c r="I32" i="2"/>
  <c r="I127" i="2"/>
  <c r="I375" i="2"/>
  <c r="I201" i="2"/>
  <c r="I485" i="2"/>
  <c r="I175" i="2"/>
  <c r="I490" i="2"/>
  <c r="I503" i="2"/>
  <c r="I75" i="2"/>
  <c r="I153" i="2"/>
  <c r="I529" i="2"/>
  <c r="I217" i="2"/>
  <c r="I43" i="2"/>
  <c r="I267" i="2"/>
  <c r="I100" i="2"/>
  <c r="I413" i="2"/>
  <c r="I196" i="2"/>
  <c r="I403" i="2"/>
  <c r="I354" i="2"/>
  <c r="I324" i="2"/>
  <c r="I136" i="2"/>
  <c r="I25" i="2"/>
  <c r="I438" i="2"/>
  <c r="I425" i="2"/>
  <c r="I328" i="2"/>
  <c r="I66" i="2"/>
  <c r="I116" i="2"/>
  <c r="I362" i="2"/>
  <c r="I261" i="2"/>
  <c r="I107" i="2"/>
  <c r="I46" i="2"/>
  <c r="I9" i="2"/>
  <c r="I252" i="2"/>
  <c r="I348" i="2"/>
  <c r="I112" i="2"/>
  <c r="I481" i="2"/>
  <c r="I439" i="2"/>
  <c r="I60" i="2"/>
  <c r="I178" i="2"/>
  <c r="I333" i="2"/>
  <c r="I395" i="2"/>
  <c r="I184" i="2"/>
  <c r="I254" i="2"/>
  <c r="I245" i="2"/>
  <c r="I509" i="2"/>
  <c r="I414" i="2"/>
  <c r="I391" i="2"/>
  <c r="I232" i="2"/>
  <c r="I441" i="2"/>
  <c r="I158" i="2"/>
  <c r="I47" i="2"/>
  <c r="I103" i="2"/>
  <c r="I530" i="2"/>
  <c r="I493" i="2"/>
  <c r="I198" i="2"/>
  <c r="I284" i="2"/>
  <c r="I471" i="2"/>
  <c r="I12" i="2"/>
  <c r="I312" i="2"/>
  <c r="I176" i="2"/>
  <c r="I211" i="2"/>
  <c r="I454" i="2"/>
  <c r="I138" i="2"/>
  <c r="I115" i="2"/>
  <c r="I205" i="2"/>
  <c r="I199" i="2"/>
  <c r="I58" i="2"/>
  <c r="I289" i="2"/>
  <c r="I497" i="2"/>
  <c r="I56" i="2"/>
  <c r="I371" i="2"/>
  <c r="I513" i="2"/>
  <c r="I451" i="2"/>
  <c r="I275" i="2"/>
  <c r="I302" i="2"/>
  <c r="I39" i="2"/>
  <c r="I237" i="2"/>
  <c r="I52" i="2"/>
  <c r="I336" i="2"/>
  <c r="I394" i="2"/>
  <c r="I67" i="2"/>
  <c r="I430" i="2"/>
  <c r="I203" i="2"/>
  <c r="I453" i="2"/>
  <c r="I207" i="2"/>
  <c r="I329" i="2"/>
  <c r="I332" i="2"/>
  <c r="I385" i="2"/>
  <c r="I20" i="2"/>
  <c r="I144" i="2"/>
  <c r="I49" i="2"/>
  <c r="I70" i="2"/>
  <c r="I487" i="2"/>
  <c r="I125" i="2"/>
  <c r="I135" i="2"/>
  <c r="I253" i="2"/>
  <c r="I126" i="2"/>
  <c r="I225" i="2"/>
  <c r="I351" i="2"/>
  <c r="I249" i="2"/>
  <c r="I458" i="2"/>
  <c r="I323" i="2"/>
  <c r="I33" i="2"/>
  <c r="I291" i="2"/>
  <c r="I141" i="2"/>
  <c r="I212" i="2"/>
  <c r="I378" i="2"/>
  <c r="I287" i="2"/>
  <c r="I390" i="2"/>
  <c r="I227" i="2"/>
  <c r="I190" i="2"/>
  <c r="I177" i="2"/>
  <c r="I210" i="2"/>
  <c r="I406" i="2"/>
  <c r="I30" i="2"/>
  <c r="I459" i="2"/>
  <c r="I188" i="2"/>
  <c r="I293" i="2"/>
  <c r="I421" i="2"/>
  <c r="I272" i="2"/>
  <c r="I341" i="2"/>
  <c r="I363" i="2"/>
  <c r="I515" i="2"/>
  <c r="I282" i="2"/>
  <c r="I444" i="2"/>
  <c r="I376" i="2"/>
  <c r="I344" i="2"/>
  <c r="I505" i="2"/>
  <c r="I377" i="2"/>
  <c r="I407" i="2"/>
  <c r="I41" i="2"/>
  <c r="I514" i="2"/>
  <c r="I360" i="2"/>
  <c r="I480" i="2"/>
  <c r="I200" i="2"/>
  <c r="I317" i="2"/>
  <c r="I345" i="2"/>
  <c r="I181" i="2"/>
  <c r="I150" i="2"/>
  <c r="I45" i="2"/>
  <c r="I416" i="2"/>
  <c r="I87" i="2"/>
  <c r="I241" i="2"/>
  <c r="I130" i="2"/>
  <c r="I170" i="2"/>
  <c r="I440" i="2"/>
  <c r="I468" i="2"/>
  <c r="I146" i="2"/>
  <c r="I194" i="2"/>
  <c r="I298" i="2"/>
  <c r="I14" i="2"/>
  <c r="I455" i="2"/>
  <c r="I154" i="2"/>
  <c r="I307" i="2"/>
  <c r="I319" i="2"/>
  <c r="I6" i="2"/>
  <c r="I93" i="2"/>
  <c r="I279" i="2"/>
  <c r="I84" i="2"/>
  <c r="I357" i="2"/>
  <c r="I37" i="2"/>
  <c r="I256" i="2"/>
  <c r="I264" i="2"/>
  <c r="I465" i="2"/>
  <c r="I381" i="2"/>
  <c r="I63" i="2"/>
  <c r="I470" i="2"/>
  <c r="I17" i="2"/>
  <c r="I65" i="2"/>
  <c r="I229" i="2"/>
  <c r="I169" i="2"/>
  <c r="I321" i="2"/>
  <c r="I224" i="2"/>
  <c r="I189" i="2"/>
  <c r="I366" i="2"/>
  <c r="I222" i="2"/>
  <c r="I268" i="2"/>
  <c r="I263" i="2"/>
  <c r="I226" i="2"/>
  <c r="I346" i="2"/>
  <c r="I309" i="2"/>
  <c r="I294" i="2"/>
  <c r="I489" i="2"/>
  <c r="I392" i="2"/>
  <c r="I273" i="2"/>
  <c r="I193" i="2"/>
  <c r="I521" i="2"/>
  <c r="I300" i="2"/>
  <c r="I408" i="2"/>
  <c r="I276" i="2"/>
  <c r="I69" i="2"/>
  <c r="I35" i="2"/>
  <c r="I355" i="2"/>
  <c r="I139" i="2"/>
  <c r="I248" i="2"/>
  <c r="I330" i="2"/>
  <c r="I383" i="2"/>
  <c r="I173" i="2"/>
  <c r="I297" i="2"/>
  <c r="I484" i="2"/>
  <c r="I218" i="2"/>
  <c r="I183" i="2"/>
  <c r="I496" i="2"/>
  <c r="I89" i="2"/>
  <c r="I356" i="2"/>
  <c r="I172" i="2"/>
  <c r="I231" i="2"/>
  <c r="I122" i="2"/>
  <c r="I123" i="2"/>
  <c r="I374" i="2"/>
  <c r="I133" i="2"/>
  <c r="I401" i="2"/>
  <c r="I338" i="2"/>
  <c r="I303" i="2"/>
  <c r="I131" i="2"/>
  <c r="I68" i="2"/>
  <c r="I386" i="2"/>
  <c r="I85" i="2"/>
  <c r="I368" i="2"/>
  <c r="I180" i="2"/>
  <c r="I179" i="2"/>
  <c r="I182" i="2"/>
  <c r="I148" i="2"/>
  <c r="I396" i="2"/>
  <c r="I113" i="2"/>
  <c r="I334" i="2"/>
  <c r="I16" i="2"/>
  <c r="I96" i="2"/>
  <c r="I243" i="2"/>
  <c r="I258" i="2"/>
  <c r="I28" i="2"/>
  <c r="I404" i="2"/>
  <c r="I331" i="2"/>
  <c r="I42" i="2"/>
  <c r="I296" i="2"/>
  <c r="I281" i="2"/>
  <c r="I271" i="2"/>
  <c r="I79" i="2"/>
  <c r="I306" i="2"/>
  <c r="I147" i="2"/>
  <c r="I61" i="2"/>
  <c r="I350" i="2"/>
  <c r="I59" i="2"/>
  <c r="I379" i="2"/>
  <c r="I128" i="2"/>
  <c r="I86" i="2"/>
  <c r="I81" i="2"/>
  <c r="I94" i="2"/>
  <c r="I10" i="2"/>
  <c r="I247" i="2"/>
  <c r="I491" i="2"/>
  <c r="I467" i="2"/>
  <c r="I105" i="2"/>
  <c r="I156" i="2"/>
  <c r="I367" i="2"/>
  <c r="I446" i="2"/>
  <c r="I151" i="2"/>
  <c r="I5" i="2"/>
  <c r="I318" i="2"/>
  <c r="I36" i="2"/>
  <c r="I266" i="2"/>
  <c r="I34" i="2"/>
  <c r="I525" i="2"/>
  <c r="I447" i="2"/>
  <c r="I325" i="2"/>
  <c r="I340" i="2"/>
  <c r="I426" i="2"/>
  <c r="I98" i="2"/>
  <c r="I358" i="2"/>
  <c r="I511" i="2"/>
  <c r="I15" i="2"/>
  <c r="I149" i="2"/>
  <c r="I382" i="2"/>
  <c r="I134" i="2"/>
  <c r="I260" i="2"/>
  <c r="I343" i="2"/>
  <c r="I397" i="2"/>
  <c r="I411" i="2"/>
  <c r="I283" i="2"/>
  <c r="I255" i="2"/>
  <c r="I415" i="2"/>
  <c r="I155" i="2"/>
  <c r="I483" i="2"/>
  <c r="I473" i="2"/>
  <c r="I292" i="2"/>
  <c r="I8" i="2"/>
  <c r="I400" i="2"/>
  <c r="I55" i="2"/>
  <c r="I450" i="2"/>
  <c r="I13" i="2"/>
  <c r="I288" i="2"/>
  <c r="I423" i="2"/>
  <c r="I412" i="2"/>
  <c r="I91" i="2"/>
  <c r="I219" i="2"/>
  <c r="I419" i="2"/>
  <c r="X162" i="2" l="1"/>
  <c r="Y162" i="2" s="1"/>
  <c r="W162" i="2" s="1"/>
  <c r="V21" i="2"/>
  <c r="V264" i="2"/>
  <c r="V392" i="2"/>
  <c r="V146" i="2"/>
  <c r="V258" i="2"/>
  <c r="V397" i="2"/>
  <c r="V65" i="2"/>
  <c r="V93" i="2"/>
  <c r="V96" i="2"/>
  <c r="V276" i="2"/>
  <c r="V385" i="2"/>
  <c r="V58" i="2"/>
  <c r="V445" i="2"/>
  <c r="V329" i="2"/>
  <c r="V285" i="2"/>
  <c r="V389" i="2"/>
  <c r="X383" i="2"/>
  <c r="Y383" i="2" s="1"/>
  <c r="W383" i="2" s="1"/>
  <c r="X205" i="2"/>
  <c r="Y205" i="2" s="1"/>
  <c r="W205" i="2" s="1"/>
  <c r="V187" i="2"/>
  <c r="V77" i="2"/>
  <c r="V499" i="2"/>
  <c r="V337" i="2"/>
  <c r="V72" i="2"/>
  <c r="V175" i="2"/>
  <c r="V305" i="2"/>
  <c r="V524" i="2"/>
  <c r="X29" i="2"/>
  <c r="Y29" i="2" s="1"/>
  <c r="W29" i="2" s="1"/>
  <c r="V236" i="2"/>
  <c r="X53" i="2"/>
  <c r="Y53" i="2" s="1"/>
  <c r="W53" i="2" s="1"/>
  <c r="X361" i="2"/>
  <c r="Y361" i="2" s="1"/>
  <c r="W361" i="2" s="1"/>
  <c r="X66" i="2"/>
  <c r="Y66" i="2" s="1"/>
  <c r="W66" i="2" s="1"/>
  <c r="X127" i="2"/>
  <c r="Y127" i="2" s="1"/>
  <c r="W127" i="2" s="1"/>
  <c r="X229" i="2"/>
  <c r="Y229" i="2" s="1"/>
  <c r="W229" i="2" s="1"/>
  <c r="X254" i="2"/>
  <c r="Y254" i="2" s="1"/>
  <c r="W254" i="2" s="1"/>
  <c r="X479" i="2"/>
  <c r="Y479" i="2" s="1"/>
  <c r="W479" i="2" s="1"/>
  <c r="X68" i="2"/>
  <c r="Y68" i="2" s="1"/>
  <c r="W68" i="2" s="1"/>
  <c r="X257" i="2"/>
  <c r="Y257" i="2" s="1"/>
  <c r="W257" i="2" s="1"/>
  <c r="X378" i="2"/>
  <c r="Y378" i="2" s="1"/>
  <c r="W378" i="2" s="1"/>
  <c r="X221" i="2"/>
  <c r="Y221" i="2" s="1"/>
  <c r="W221" i="2" s="1"/>
  <c r="X441" i="2"/>
  <c r="Y441" i="2" s="1"/>
  <c r="W441" i="2" s="1"/>
  <c r="X191" i="2"/>
  <c r="Y191" i="2" s="1"/>
  <c r="W191" i="2" s="1"/>
  <c r="X178" i="2"/>
  <c r="Y178" i="2" s="1"/>
  <c r="W178" i="2" s="1"/>
  <c r="X132" i="2"/>
  <c r="Y132" i="2" s="1"/>
  <c r="W132" i="2" s="1"/>
  <c r="X301" i="2"/>
  <c r="Y301" i="2" s="1"/>
  <c r="W301" i="2" s="1"/>
  <c r="X495" i="2"/>
  <c r="Y495" i="2" s="1"/>
  <c r="W495" i="2" s="1"/>
  <c r="X149" i="2"/>
  <c r="Y149" i="2" s="1"/>
  <c r="W149" i="2" s="1"/>
  <c r="X459" i="2"/>
  <c r="Y459" i="2" s="1"/>
  <c r="W459" i="2" s="1"/>
  <c r="Z190" i="2" l="1"/>
  <c r="Z311" i="2"/>
  <c r="Z77" i="2"/>
  <c r="Z346" i="2"/>
  <c r="Z72" i="2"/>
  <c r="Z303" i="2"/>
  <c r="Z183" i="2"/>
  <c r="Z276" i="2"/>
  <c r="Z332" i="2"/>
  <c r="Z85" i="2"/>
  <c r="Z388" i="2"/>
  <c r="Z221" i="2"/>
  <c r="Z492" i="2"/>
  <c r="Z193" i="2"/>
  <c r="Z52" i="2"/>
  <c r="Z389" i="2"/>
  <c r="Z456" i="2"/>
  <c r="Z370" i="2"/>
  <c r="Z178" i="2"/>
  <c r="Z66" i="2"/>
  <c r="Z62" i="2"/>
  <c r="Z68" i="2"/>
  <c r="Z40" i="2"/>
  <c r="Z372" i="2"/>
  <c r="Z315" i="2"/>
  <c r="Z124" i="2"/>
  <c r="Z499" i="2"/>
  <c r="Z316" i="2"/>
  <c r="Z340" i="2"/>
  <c r="Z133" i="2"/>
  <c r="Z98" i="2"/>
  <c r="Z446" i="2"/>
  <c r="Z379" i="2"/>
</calcChain>
</file>

<file path=xl/sharedStrings.xml><?xml version="1.0" encoding="utf-8"?>
<sst xmlns="http://schemas.openxmlformats.org/spreadsheetml/2006/main" count="5396" uniqueCount="673">
  <si>
    <t>Gender</t>
  </si>
  <si>
    <t>Country_Region</t>
  </si>
  <si>
    <t>Year</t>
  </si>
  <si>
    <t>Genetic_Risk</t>
  </si>
  <si>
    <t>Air_Pollution</t>
  </si>
  <si>
    <t>Alcohol_Use</t>
  </si>
  <si>
    <t>Smoking</t>
  </si>
  <si>
    <t>Obesity_Level</t>
  </si>
  <si>
    <t>Cancer_Type</t>
  </si>
  <si>
    <t>Cancer_Stage</t>
  </si>
  <si>
    <t>Treatment_Cost_USD</t>
  </si>
  <si>
    <t>PT0018363</t>
  </si>
  <si>
    <t>PT0012679</t>
  </si>
  <si>
    <t>PT0020302</t>
  </si>
  <si>
    <t>PT0030210</t>
  </si>
  <si>
    <t>PT0033168</t>
  </si>
  <si>
    <t>PT0030802</t>
  </si>
  <si>
    <t>PT0044161</t>
  </si>
  <si>
    <t>PT0010482</t>
  </si>
  <si>
    <t>PT0017934</t>
  </si>
  <si>
    <t>PT0038744</t>
  </si>
  <si>
    <t>PT0034649</t>
  </si>
  <si>
    <t>PT0046597</t>
  </si>
  <si>
    <t>PT0038532</t>
  </si>
  <si>
    <t>PT0010560</t>
  </si>
  <si>
    <t>PT0020218</t>
  </si>
  <si>
    <t>PT0013880</t>
  </si>
  <si>
    <t>PT0028757</t>
  </si>
  <si>
    <t>PT0013867</t>
  </si>
  <si>
    <t>PT0008067</t>
  </si>
  <si>
    <t>PT0016835</t>
  </si>
  <si>
    <t>PT0040358</t>
  </si>
  <si>
    <t>PT0047923</t>
  </si>
  <si>
    <t>PT0013722</t>
  </si>
  <si>
    <t>PT0023994</t>
  </si>
  <si>
    <t>PT0044269</t>
  </si>
  <si>
    <t>PT0047650</t>
  </si>
  <si>
    <t>PT0014112</t>
  </si>
  <si>
    <t>PT0026851</t>
  </si>
  <si>
    <t>PT0040485</t>
  </si>
  <si>
    <t>PT0024724</t>
  </si>
  <si>
    <t>PT0043987</t>
  </si>
  <si>
    <t>PT0033041</t>
  </si>
  <si>
    <t>PT0044842</t>
  </si>
  <si>
    <t>PT0028277</t>
  </si>
  <si>
    <t>PT0040258</t>
  </si>
  <si>
    <t>PT0028839</t>
  </si>
  <si>
    <t>PT0036715</t>
  </si>
  <si>
    <t>PT0020314</t>
  </si>
  <si>
    <t>PT0043399</t>
  </si>
  <si>
    <t>PT0026700</t>
  </si>
  <si>
    <t>PT0012343</t>
  </si>
  <si>
    <t>PT0014045</t>
  </si>
  <si>
    <t>PT0032279</t>
  </si>
  <si>
    <t>PT0028478</t>
  </si>
  <si>
    <t>PT0029975</t>
  </si>
  <si>
    <t>PT0045009</t>
  </si>
  <si>
    <t>PT0041953</t>
  </si>
  <si>
    <t>PT0039857</t>
  </si>
  <si>
    <t>PT0034882</t>
  </si>
  <si>
    <t>PT0032031</t>
  </si>
  <si>
    <t>PT0032231</t>
  </si>
  <si>
    <t>PT0041340</t>
  </si>
  <si>
    <t>PT0030428</t>
  </si>
  <si>
    <t>PT0045635</t>
  </si>
  <si>
    <t>PT0045530</t>
  </si>
  <si>
    <t>PT0028172</t>
  </si>
  <si>
    <t>PT0033874</t>
  </si>
  <si>
    <t>PT0043892</t>
  </si>
  <si>
    <t>PT0010069</t>
  </si>
  <si>
    <t>PT0038433</t>
  </si>
  <si>
    <t>PT0013083</t>
  </si>
  <si>
    <t>PT0027386</t>
  </si>
  <si>
    <t>PT0014359</t>
  </si>
  <si>
    <t>PT0028543</t>
  </si>
  <si>
    <t>PT0038948</t>
  </si>
  <si>
    <t>PT0016951</t>
  </si>
  <si>
    <t>PT0035444</t>
  </si>
  <si>
    <t>PT0038581</t>
  </si>
  <si>
    <t>PT0020776</t>
  </si>
  <si>
    <t>PT0017206</t>
  </si>
  <si>
    <t>PT0047812</t>
  </si>
  <si>
    <t>PT0012695</t>
  </si>
  <si>
    <t>PT0041894</t>
  </si>
  <si>
    <t>PT0032015</t>
  </si>
  <si>
    <t>PT0042071</t>
  </si>
  <si>
    <t>PT0024872</t>
  </si>
  <si>
    <t>PT0043294</t>
  </si>
  <si>
    <t>PT0018542</t>
  </si>
  <si>
    <t>PT0032510</t>
  </si>
  <si>
    <t>PT0031695</t>
  </si>
  <si>
    <t>PT0036498</t>
  </si>
  <si>
    <t>PT0047176</t>
  </si>
  <si>
    <t>PT0012611</t>
  </si>
  <si>
    <t>PT0019677</t>
  </si>
  <si>
    <t>PT0038743</t>
  </si>
  <si>
    <t>PT0027910</t>
  </si>
  <si>
    <t>PT0031951</t>
  </si>
  <si>
    <t>PT0013550</t>
  </si>
  <si>
    <t>PT0001777</t>
  </si>
  <si>
    <t>PT0031419</t>
  </si>
  <si>
    <t>PT0039849</t>
  </si>
  <si>
    <t>PT0032615</t>
  </si>
  <si>
    <t>PT0034159</t>
  </si>
  <si>
    <t>PT0021325</t>
  </si>
  <si>
    <t>PT0040571</t>
  </si>
  <si>
    <t>PT0045267</t>
  </si>
  <si>
    <t>PT0041973</t>
  </si>
  <si>
    <t>PT0037079</t>
  </si>
  <si>
    <t>PT0015348</t>
  </si>
  <si>
    <t>PT0040293</t>
  </si>
  <si>
    <t>PT0011848</t>
  </si>
  <si>
    <t>PT0017029</t>
  </si>
  <si>
    <t>PT0028665</t>
  </si>
  <si>
    <t>PT0045164</t>
  </si>
  <si>
    <t>PT0040375</t>
  </si>
  <si>
    <t>PT0032541</t>
  </si>
  <si>
    <t>PT0010397</t>
  </si>
  <si>
    <t>PT0018231</t>
  </si>
  <si>
    <t>PT0043250</t>
  </si>
  <si>
    <t>PT0010207</t>
  </si>
  <si>
    <t>PT0015231</t>
  </si>
  <si>
    <t>PT0012824</t>
  </si>
  <si>
    <t>PT0032955</t>
  </si>
  <si>
    <t>PT0020738</t>
  </si>
  <si>
    <t>PT0012530</t>
  </si>
  <si>
    <t>PT0034490</t>
  </si>
  <si>
    <t>PT0030994</t>
  </si>
  <si>
    <t>PT0043906</t>
  </si>
  <si>
    <t>PT0047931</t>
  </si>
  <si>
    <t>PT0015541</t>
  </si>
  <si>
    <t>PT0049770</t>
  </si>
  <si>
    <t>PT0030694</t>
  </si>
  <si>
    <t>PT0006792</t>
  </si>
  <si>
    <t>PT0013484</t>
  </si>
  <si>
    <t>PT0033533</t>
  </si>
  <si>
    <t>PT0029640</t>
  </si>
  <si>
    <t>PT0010867</t>
  </si>
  <si>
    <t>PT0043065</t>
  </si>
  <si>
    <t>PT0015758</t>
  </si>
  <si>
    <t>PT0011075</t>
  </si>
  <si>
    <t>PT0025776</t>
  </si>
  <si>
    <t>PT0029786</t>
  </si>
  <si>
    <t>PT0010771</t>
  </si>
  <si>
    <t>PT0039352</t>
  </si>
  <si>
    <t>PT0041843</t>
  </si>
  <si>
    <t>PT0041954</t>
  </si>
  <si>
    <t>PT0033170</t>
  </si>
  <si>
    <t>PT0011287</t>
  </si>
  <si>
    <t>PT0035876</t>
  </si>
  <si>
    <t>PT0036540</t>
  </si>
  <si>
    <t>PT0022028</t>
  </si>
  <si>
    <t>PT0030119</t>
  </si>
  <si>
    <t>PT0015942</t>
  </si>
  <si>
    <t>PT0033562</t>
  </si>
  <si>
    <t>PT0011946</t>
  </si>
  <si>
    <t>PT0035569</t>
  </si>
  <si>
    <t>PT0034126</t>
  </si>
  <si>
    <t>PT0016162</t>
  </si>
  <si>
    <t>PT0039348</t>
  </si>
  <si>
    <t>PT0020110</t>
  </si>
  <si>
    <t>PT0035832</t>
  </si>
  <si>
    <t>PT0030989</t>
  </si>
  <si>
    <t>PT0027817</t>
  </si>
  <si>
    <t>PT0018939</t>
  </si>
  <si>
    <t>PT0016973</t>
  </si>
  <si>
    <t>PT0020688</t>
  </si>
  <si>
    <t>PT0015405</t>
  </si>
  <si>
    <t>PT0009237</t>
  </si>
  <si>
    <t>PT0016813</t>
  </si>
  <si>
    <t>PT0014704</t>
  </si>
  <si>
    <t>PT0012259</t>
  </si>
  <si>
    <t>PT0028530</t>
  </si>
  <si>
    <t>PT0018402</t>
  </si>
  <si>
    <t>PT0033741</t>
  </si>
  <si>
    <t>PT0040499</t>
  </si>
  <si>
    <t>PT0039389</t>
  </si>
  <si>
    <t>PT0032464</t>
  </si>
  <si>
    <t>PT0013409</t>
  </si>
  <si>
    <t>PT0043811</t>
  </si>
  <si>
    <t>PT0028977</t>
  </si>
  <si>
    <t>PT0037912</t>
  </si>
  <si>
    <t>PT0017682</t>
  </si>
  <si>
    <t>PT0027858</t>
  </si>
  <si>
    <t>PT0027418</t>
  </si>
  <si>
    <t>PT0012968</t>
  </si>
  <si>
    <t>PT0018094</t>
  </si>
  <si>
    <t>PT0032142</t>
  </si>
  <si>
    <t>PT0031904</t>
  </si>
  <si>
    <t>PT0037095</t>
  </si>
  <si>
    <t>PT0038356</t>
  </si>
  <si>
    <t>PT0010634</t>
  </si>
  <si>
    <t>PT0034467</t>
  </si>
  <si>
    <t>PT0034592</t>
  </si>
  <si>
    <t>PT0038080</t>
  </si>
  <si>
    <t>PT0048572</t>
  </si>
  <si>
    <t>PT0029185</t>
  </si>
  <si>
    <t>PT0046356</t>
  </si>
  <si>
    <t>PT0037845</t>
  </si>
  <si>
    <t>PT0038849</t>
  </si>
  <si>
    <t>PT0014852</t>
  </si>
  <si>
    <t>PT0034862</t>
  </si>
  <si>
    <t>PT0026649</t>
  </si>
  <si>
    <t>PT0040043</t>
  </si>
  <si>
    <t>PT0020992</t>
  </si>
  <si>
    <t>PT0016136</t>
  </si>
  <si>
    <t>PT0036959</t>
  </si>
  <si>
    <t>PT0027502</t>
  </si>
  <si>
    <t>PT0015735</t>
  </si>
  <si>
    <t>PT0006143</t>
  </si>
  <si>
    <t>PT0030219</t>
  </si>
  <si>
    <t>PT0030660</t>
  </si>
  <si>
    <t>PT0034330</t>
  </si>
  <si>
    <t>PT0020787</t>
  </si>
  <si>
    <t>PT0035941</t>
  </si>
  <si>
    <t>PT0015156</t>
  </si>
  <si>
    <t>PT0046243</t>
  </si>
  <si>
    <t>PT0015543</t>
  </si>
  <si>
    <t>PT0037510</t>
  </si>
  <si>
    <t>PT0040706</t>
  </si>
  <si>
    <t>PT0029364</t>
  </si>
  <si>
    <t>PT0028494</t>
  </si>
  <si>
    <t>PT0038222</t>
  </si>
  <si>
    <t>PT0043990</t>
  </si>
  <si>
    <t>PT0027427</t>
  </si>
  <si>
    <t>PT0016619</t>
  </si>
  <si>
    <t>PT0046993</t>
  </si>
  <si>
    <t>PT0042475</t>
  </si>
  <si>
    <t>PT0024251</t>
  </si>
  <si>
    <t>PT0013519</t>
  </si>
  <si>
    <t>PT0041478</t>
  </si>
  <si>
    <t>PT0041792</t>
  </si>
  <si>
    <t>PT0025336</t>
  </si>
  <si>
    <t>PT0024342</t>
  </si>
  <si>
    <t>PT0026830</t>
  </si>
  <si>
    <t>PT0029368</t>
  </si>
  <si>
    <t>PT0034410</t>
  </si>
  <si>
    <t>PT0038560</t>
  </si>
  <si>
    <t>PT0029094</t>
  </si>
  <si>
    <t>PT0033579</t>
  </si>
  <si>
    <t>PT0033498</t>
  </si>
  <si>
    <t>PT0016008</t>
  </si>
  <si>
    <t>PT0036266</t>
  </si>
  <si>
    <t>PT0037520</t>
  </si>
  <si>
    <t>PT0026402</t>
  </si>
  <si>
    <t>PT0011480</t>
  </si>
  <si>
    <t>PT0017483</t>
  </si>
  <si>
    <t>PT0034994</t>
  </si>
  <si>
    <t>PT0026307</t>
  </si>
  <si>
    <t>PT0042387</t>
  </si>
  <si>
    <t>PT0022117</t>
  </si>
  <si>
    <t>PT0043170</t>
  </si>
  <si>
    <t>PT0044064</t>
  </si>
  <si>
    <t>PT0013569</t>
  </si>
  <si>
    <t>PT0019088</t>
  </si>
  <si>
    <t>PT0048155</t>
  </si>
  <si>
    <t>PT0027514</t>
  </si>
  <si>
    <t>PT0012152</t>
  </si>
  <si>
    <t>PT0030177</t>
  </si>
  <si>
    <t>PT0015411</t>
  </si>
  <si>
    <t>PT0037201</t>
  </si>
  <si>
    <t>PT0025596</t>
  </si>
  <si>
    <t>PT0036750</t>
  </si>
  <si>
    <t>PT0034169</t>
  </si>
  <si>
    <t>PT0033109</t>
  </si>
  <si>
    <t>PT0018060</t>
  </si>
  <si>
    <t>PT0010748</t>
  </si>
  <si>
    <t>PT0039044</t>
  </si>
  <si>
    <t>PT0038185</t>
  </si>
  <si>
    <t>PT0033177</t>
  </si>
  <si>
    <t>PT0013121</t>
  </si>
  <si>
    <t>PT0016782</t>
  </si>
  <si>
    <t>PT0034452</t>
  </si>
  <si>
    <t>PT0029966</t>
  </si>
  <si>
    <t>PT0015864</t>
  </si>
  <si>
    <t>PT0012308</t>
  </si>
  <si>
    <t>PT0008770</t>
  </si>
  <si>
    <t>PT0029547</t>
  </si>
  <si>
    <t>PT0033774</t>
  </si>
  <si>
    <t>PT0016275</t>
  </si>
  <si>
    <t>PT0041992</t>
  </si>
  <si>
    <t>PT0039112</t>
  </si>
  <si>
    <t>PT0012945</t>
  </si>
  <si>
    <t>PT0022463</t>
  </si>
  <si>
    <t>PT0033461</t>
  </si>
  <si>
    <t>PT0036307</t>
  </si>
  <si>
    <t>PT0023820</t>
  </si>
  <si>
    <t>PT0029568</t>
  </si>
  <si>
    <t>PT0029143</t>
  </si>
  <si>
    <t>PT0045023</t>
  </si>
  <si>
    <t>PT0037311</t>
  </si>
  <si>
    <t>PT0035960</t>
  </si>
  <si>
    <t>PT0028351</t>
  </si>
  <si>
    <t>PT0039224</t>
  </si>
  <si>
    <t>PT0019574</t>
  </si>
  <si>
    <t>PT0012317</t>
  </si>
  <si>
    <t>PT0015694</t>
  </si>
  <si>
    <t>PT0048428</t>
  </si>
  <si>
    <t>PT0043261</t>
  </si>
  <si>
    <t>PT0026091</t>
  </si>
  <si>
    <t>PT0030981</t>
  </si>
  <si>
    <t>PT0041465</t>
  </si>
  <si>
    <t>PT0009519</t>
  </si>
  <si>
    <t>PT0032396</t>
  </si>
  <si>
    <t>PT0022236</t>
  </si>
  <si>
    <t>PT0027297</t>
  </si>
  <si>
    <t>PT0040144</t>
  </si>
  <si>
    <t>PT0018171</t>
  </si>
  <si>
    <t>PT0016743</t>
  </si>
  <si>
    <t>PT0026685</t>
  </si>
  <si>
    <t>PT0026190</t>
  </si>
  <si>
    <t>PT0012885</t>
  </si>
  <si>
    <t>PT0031259</t>
  </si>
  <si>
    <t>PT0043793</t>
  </si>
  <si>
    <t>PT0012760</t>
  </si>
  <si>
    <t>PT0034750</t>
  </si>
  <si>
    <t>PT0045317</t>
  </si>
  <si>
    <t>PT0040003</t>
  </si>
  <si>
    <t>PT0030650</t>
  </si>
  <si>
    <t>PT0031966</t>
  </si>
  <si>
    <t>PT0011915</t>
  </si>
  <si>
    <t>PT0028619</t>
  </si>
  <si>
    <t>PT0012620</t>
  </si>
  <si>
    <t>PT0033513</t>
  </si>
  <si>
    <t>PT0036295</t>
  </si>
  <si>
    <t>PT0013211</t>
  </si>
  <si>
    <t>PT0038517</t>
  </si>
  <si>
    <t>PT0026648</t>
  </si>
  <si>
    <t>PT0040067</t>
  </si>
  <si>
    <t>PT0026716</t>
  </si>
  <si>
    <t>PT0033234</t>
  </si>
  <si>
    <t>PT0033354</t>
  </si>
  <si>
    <t>PT0035628</t>
  </si>
  <si>
    <t>PT0010331</t>
  </si>
  <si>
    <t>PT0018491</t>
  </si>
  <si>
    <t>PT0012527</t>
  </si>
  <si>
    <t>PT0013341</t>
  </si>
  <si>
    <t>PT0042889</t>
  </si>
  <si>
    <t>PT0017227</t>
  </si>
  <si>
    <t>PT0018004</t>
  </si>
  <si>
    <t>PT0029565</t>
  </si>
  <si>
    <t>PT0017459</t>
  </si>
  <si>
    <t>PT0028082</t>
  </si>
  <si>
    <t>PT0034034</t>
  </si>
  <si>
    <t>PT0029270</t>
  </si>
  <si>
    <t>PT0040301</t>
  </si>
  <si>
    <t>PT0033102</t>
  </si>
  <si>
    <t>PT0011508</t>
  </si>
  <si>
    <t>PT0031425</t>
  </si>
  <si>
    <t>PT0018314</t>
  </si>
  <si>
    <t>PT0027360</t>
  </si>
  <si>
    <t>PT0035263</t>
  </si>
  <si>
    <t>PT0031051</t>
  </si>
  <si>
    <t>PT0035946</t>
  </si>
  <si>
    <t>PT0028155</t>
  </si>
  <si>
    <t>PT0024702</t>
  </si>
  <si>
    <t>PT0022455</t>
  </si>
  <si>
    <t>PT0026957</t>
  </si>
  <si>
    <t>PT0036984</t>
  </si>
  <si>
    <t>PT0011111</t>
  </si>
  <si>
    <t>PT0040317</t>
  </si>
  <si>
    <t>PT0024410</t>
  </si>
  <si>
    <t>PT0031601</t>
  </si>
  <si>
    <t>PT0037851</t>
  </si>
  <si>
    <t>PT0030303</t>
  </si>
  <si>
    <t>PT0033575</t>
  </si>
  <si>
    <t>PT0034458</t>
  </si>
  <si>
    <t>PT0045437</t>
  </si>
  <si>
    <t>PT0030923</t>
  </si>
  <si>
    <t>PT0039371</t>
  </si>
  <si>
    <t>PT0035071</t>
  </si>
  <si>
    <t>PT0033599</t>
  </si>
  <si>
    <t>PT0044209</t>
  </si>
  <si>
    <t>PT0035173</t>
  </si>
  <si>
    <t>PT0037014</t>
  </si>
  <si>
    <t>PT0012142</t>
  </si>
  <si>
    <t>PT0045404</t>
  </si>
  <si>
    <t>PT0034360</t>
  </si>
  <si>
    <t>PT0041981</t>
  </si>
  <si>
    <t>PT0026233</t>
  </si>
  <si>
    <t>PT0032725</t>
  </si>
  <si>
    <t>PT0033706</t>
  </si>
  <si>
    <t>PT0023018</t>
  </si>
  <si>
    <t>PT0018818</t>
  </si>
  <si>
    <t>PT0012271</t>
  </si>
  <si>
    <t>PT0037502</t>
  </si>
  <si>
    <t>PT0014659</t>
  </si>
  <si>
    <t>PT0028950</t>
  </si>
  <si>
    <t>PT0017716</t>
  </si>
  <si>
    <t>PT0021223</t>
  </si>
  <si>
    <t>PT0039219</t>
  </si>
  <si>
    <t>PT0041199</t>
  </si>
  <si>
    <t>PT0018563</t>
  </si>
  <si>
    <t>PT0025277</t>
  </si>
  <si>
    <t>PT0031859</t>
  </si>
  <si>
    <t>PT0009724</t>
  </si>
  <si>
    <t>PT0040232</t>
  </si>
  <si>
    <t>PT0019302</t>
  </si>
  <si>
    <t>PT0032065</t>
  </si>
  <si>
    <t>PT0032913</t>
  </si>
  <si>
    <t>PT0007406</t>
  </si>
  <si>
    <t>PT0015186</t>
  </si>
  <si>
    <t>PT0030797</t>
  </si>
  <si>
    <t>PT0014378</t>
  </si>
  <si>
    <t>PT0034243</t>
  </si>
  <si>
    <t>PT0011817</t>
  </si>
  <si>
    <t>PT0029607</t>
  </si>
  <si>
    <t>PT0030069</t>
  </si>
  <si>
    <t>PT0040629</t>
  </si>
  <si>
    <t>PT0035446</t>
  </si>
  <si>
    <t>PT0013073</t>
  </si>
  <si>
    <t>PT0041443</t>
  </si>
  <si>
    <t>PT0009964</t>
  </si>
  <si>
    <t>PT0013116</t>
  </si>
  <si>
    <t>PT0028199</t>
  </si>
  <si>
    <t>PT0021041</t>
  </si>
  <si>
    <t>PT0033019</t>
  </si>
  <si>
    <t>PT0027990</t>
  </si>
  <si>
    <t>PT0024615</t>
  </si>
  <si>
    <t>PT0034493</t>
  </si>
  <si>
    <t>PT0027893</t>
  </si>
  <si>
    <t>PT0030189</t>
  </si>
  <si>
    <t>PT0030021</t>
  </si>
  <si>
    <t>PT0028106</t>
  </si>
  <si>
    <t>PT0033736</t>
  </si>
  <si>
    <t>PT0032223</t>
  </si>
  <si>
    <t>PT0031613</t>
  </si>
  <si>
    <t>PT0043138</t>
  </si>
  <si>
    <t>PT0036264</t>
  </si>
  <si>
    <t>PT0030359</t>
  </si>
  <si>
    <t>PT0025038</t>
  </si>
  <si>
    <t>PT0046769</t>
  </si>
  <si>
    <t>PT0031928</t>
  </si>
  <si>
    <t>PT0037044</t>
  </si>
  <si>
    <t>PT0030656</t>
  </si>
  <si>
    <t>PT0013236</t>
  </si>
  <si>
    <t>PT0011735</t>
  </si>
  <si>
    <t>PT0034181</t>
  </si>
  <si>
    <t>PT0018205</t>
  </si>
  <si>
    <t>PT0029264</t>
  </si>
  <si>
    <t>PT0033291</t>
  </si>
  <si>
    <t>PT0035483</t>
  </si>
  <si>
    <t>PT0021455</t>
  </si>
  <si>
    <t>PT0031828</t>
  </si>
  <si>
    <t>PT0042347</t>
  </si>
  <si>
    <t>PT0027695</t>
  </si>
  <si>
    <t>PT0023733</t>
  </si>
  <si>
    <t>PT0043421</t>
  </si>
  <si>
    <t>PT0014732</t>
  </si>
  <si>
    <t>PT0034193</t>
  </si>
  <si>
    <t>PT0021401</t>
  </si>
  <si>
    <t>PT0028287</t>
  </si>
  <si>
    <t>PT0017138</t>
  </si>
  <si>
    <t>PT0017191</t>
  </si>
  <si>
    <t>PT0034894</t>
  </si>
  <si>
    <t>PT0017946</t>
  </si>
  <si>
    <t>PT0036607</t>
  </si>
  <si>
    <t>PT0033559</t>
  </si>
  <si>
    <t>PT0032013</t>
  </si>
  <si>
    <t>PT0017725</t>
  </si>
  <si>
    <t>PT0013233</t>
  </si>
  <si>
    <t>PT0035761</t>
  </si>
  <si>
    <t>PT0014430</t>
  </si>
  <si>
    <t>PT0034573</t>
  </si>
  <si>
    <t>PT0023016</t>
  </si>
  <si>
    <t>PT0022629</t>
  </si>
  <si>
    <t>PT0023466</t>
  </si>
  <si>
    <t>PT0018608</t>
  </si>
  <si>
    <t>PT0036360</t>
  </si>
  <si>
    <t>PT0016285</t>
  </si>
  <si>
    <t>PT0033464</t>
  </si>
  <si>
    <t>PT0009894</t>
  </si>
  <si>
    <t>PT0015272</t>
  </si>
  <si>
    <t>PT0029025</t>
  </si>
  <si>
    <t>PT0029743</t>
  </si>
  <si>
    <t>PT0010978</t>
  </si>
  <si>
    <t>PT0036842</t>
  </si>
  <si>
    <t>PT0033299</t>
  </si>
  <si>
    <t>PT0012150</t>
  </si>
  <si>
    <t>PT0031698</t>
  </si>
  <si>
    <t>PT0030909</t>
  </si>
  <si>
    <t>PT0030296</t>
  </si>
  <si>
    <t>PT0013909</t>
  </si>
  <si>
    <t>PT0032050</t>
  </si>
  <si>
    <t>PT0018603</t>
  </si>
  <si>
    <t>PT0012954</t>
  </si>
  <si>
    <t>PT0034017</t>
  </si>
  <si>
    <t>PT0012912</t>
  </si>
  <si>
    <t>PT0035411</t>
  </si>
  <si>
    <t>PT0017633</t>
  </si>
  <si>
    <t>PT0014587</t>
  </si>
  <si>
    <t>PT0014083</t>
  </si>
  <si>
    <t>PT0015205</t>
  </si>
  <si>
    <t>PT0008867</t>
  </si>
  <si>
    <t>PT0029229</t>
  </si>
  <si>
    <t>PT0043224</t>
  </si>
  <si>
    <t>PT0040970</t>
  </si>
  <si>
    <t>PT0015756</t>
  </si>
  <si>
    <t>PT0019393</t>
  </si>
  <si>
    <t>PT0034508</t>
  </si>
  <si>
    <t>PT0039531</t>
  </si>
  <si>
    <t>PT0018892</t>
  </si>
  <si>
    <t>PT0007169</t>
  </si>
  <si>
    <t>PT0032747</t>
  </si>
  <si>
    <t>PT0011794</t>
  </si>
  <si>
    <t>PT0030170</t>
  </si>
  <si>
    <t>PT0011527</t>
  </si>
  <si>
    <t>PT0047662</t>
  </si>
  <si>
    <t>PT0039668</t>
  </si>
  <si>
    <t>PT0033124</t>
  </si>
  <si>
    <t>PT0033570</t>
  </si>
  <si>
    <t>PT0038202</t>
  </si>
  <si>
    <t>PT0015357</t>
  </si>
  <si>
    <t>PT0034299</t>
  </si>
  <si>
    <t>PT0045261</t>
  </si>
  <si>
    <t>PT0009788</t>
  </si>
  <si>
    <t>PT0018723</t>
  </si>
  <si>
    <t>PT0035455</t>
  </si>
  <si>
    <t>PT0017979</t>
  </si>
  <si>
    <t>PT0029907</t>
  </si>
  <si>
    <t>PT0033589</t>
  </si>
  <si>
    <t>PT0036478</t>
  </si>
  <si>
    <t>PT0037096</t>
  </si>
  <si>
    <t>PT0030952</t>
  </si>
  <si>
    <t>PT0029585</t>
  </si>
  <si>
    <t>PT0037467</t>
  </si>
  <si>
    <t>PT0019316</t>
  </si>
  <si>
    <t>PT0042292</t>
  </si>
  <si>
    <t>PT0041789</t>
  </si>
  <si>
    <t>PT0031446</t>
  </si>
  <si>
    <t>PT0008765</t>
  </si>
  <si>
    <t>PT0036559</t>
  </si>
  <si>
    <t>PT0012696</t>
  </si>
  <si>
    <t>PT0039909</t>
  </si>
  <si>
    <t>PT0009578</t>
  </si>
  <si>
    <t>PT0031085</t>
  </si>
  <si>
    <t>PT0037987</t>
  </si>
  <si>
    <t>PT0037161</t>
  </si>
  <si>
    <t>PT0015015</t>
  </si>
  <si>
    <t>PT0027728</t>
  </si>
  <si>
    <t>PT0037663</t>
  </si>
  <si>
    <t>Other</t>
  </si>
  <si>
    <t>Male</t>
  </si>
  <si>
    <t>Female</t>
  </si>
  <si>
    <t>other</t>
  </si>
  <si>
    <t>male</t>
  </si>
  <si>
    <t>Unknown</t>
  </si>
  <si>
    <t>MALE</t>
  </si>
  <si>
    <t>UK</t>
  </si>
  <si>
    <t>Australia</t>
  </si>
  <si>
    <t>Pakistan</t>
  </si>
  <si>
    <t>Germany</t>
  </si>
  <si>
    <t>China</t>
  </si>
  <si>
    <t>Canada</t>
  </si>
  <si>
    <t>Brazil</t>
  </si>
  <si>
    <t>Russia</t>
  </si>
  <si>
    <t>India</t>
  </si>
  <si>
    <t>brazil</t>
  </si>
  <si>
    <t>BRAZIL</t>
  </si>
  <si>
    <t>RUSSIA</t>
  </si>
  <si>
    <t>USA</t>
  </si>
  <si>
    <t>australia</t>
  </si>
  <si>
    <t>china</t>
  </si>
  <si>
    <t>india</t>
  </si>
  <si>
    <t>AUSTRALIA</t>
  </si>
  <si>
    <t>uk</t>
  </si>
  <si>
    <t>PAKISTAN</t>
  </si>
  <si>
    <t>CANADA</t>
  </si>
  <si>
    <t>canada</t>
  </si>
  <si>
    <t>usa</t>
  </si>
  <si>
    <t>Skin</t>
  </si>
  <si>
    <t>Lung</t>
  </si>
  <si>
    <t>Leukemia</t>
  </si>
  <si>
    <t>Breast</t>
  </si>
  <si>
    <t>Colon</t>
  </si>
  <si>
    <t>breast</t>
  </si>
  <si>
    <t>Cervical</t>
  </si>
  <si>
    <t>cERVICAL</t>
  </si>
  <si>
    <t>Liver</t>
  </si>
  <si>
    <t>Prostate</t>
  </si>
  <si>
    <t>colon</t>
  </si>
  <si>
    <t>BREAST</t>
  </si>
  <si>
    <t>LUNG</t>
  </si>
  <si>
    <t>leukemia</t>
  </si>
  <si>
    <t>skin</t>
  </si>
  <si>
    <t>prostate</t>
  </si>
  <si>
    <t>PROSTATE</t>
  </si>
  <si>
    <t>COLON</t>
  </si>
  <si>
    <t>cervical</t>
  </si>
  <si>
    <t>SKIN</t>
  </si>
  <si>
    <t>Stage III</t>
  </si>
  <si>
    <t>Stage IV</t>
  </si>
  <si>
    <t>Stage II</t>
  </si>
  <si>
    <t>Stage 0</t>
  </si>
  <si>
    <t>Stage I</t>
  </si>
  <si>
    <t>COUNTRY REGION</t>
  </si>
  <si>
    <t>GENDER2</t>
  </si>
  <si>
    <t>ProSTatE</t>
  </si>
  <si>
    <t>skIN</t>
  </si>
  <si>
    <t>SkIN</t>
  </si>
  <si>
    <t>SKin</t>
  </si>
  <si>
    <t>UnKnoWn</t>
  </si>
  <si>
    <t>UNKNOWN</t>
  </si>
  <si>
    <t>unknown</t>
  </si>
  <si>
    <t>unKNOwn</t>
  </si>
  <si>
    <t>AIR POLLUTION</t>
  </si>
  <si>
    <t>ALCOHOL USE</t>
  </si>
  <si>
    <t>SMOKING2</t>
  </si>
  <si>
    <t>OBESITY LEVEL</t>
  </si>
  <si>
    <t>FeMale</t>
  </si>
  <si>
    <t>FEMALE</t>
  </si>
  <si>
    <t>feMALE</t>
  </si>
  <si>
    <t>fEmALE</t>
  </si>
  <si>
    <t>fEMALE</t>
  </si>
  <si>
    <t>FEmale</t>
  </si>
  <si>
    <t>MaLe</t>
  </si>
  <si>
    <t>MAle</t>
  </si>
  <si>
    <t>FeMAle</t>
  </si>
  <si>
    <t>PT0019511</t>
  </si>
  <si>
    <t>AUStraLIa</t>
  </si>
  <si>
    <t>BRAzil</t>
  </si>
  <si>
    <t>BraZIL</t>
  </si>
  <si>
    <t>CAnada</t>
  </si>
  <si>
    <t>CANada</t>
  </si>
  <si>
    <t>CHINA</t>
  </si>
  <si>
    <t>ChiNA</t>
  </si>
  <si>
    <t>GERMANY</t>
  </si>
  <si>
    <t>INDia</t>
  </si>
  <si>
    <t>indIA</t>
  </si>
  <si>
    <t>russIA</t>
  </si>
  <si>
    <t>RUSSia</t>
  </si>
  <si>
    <t>uK</t>
  </si>
  <si>
    <t>GerMANY</t>
  </si>
  <si>
    <t>GERmany</t>
  </si>
  <si>
    <t>gerMAny</t>
  </si>
  <si>
    <t>germany</t>
  </si>
  <si>
    <t>GERmaNY</t>
  </si>
  <si>
    <t>INDIA</t>
  </si>
  <si>
    <t>AustrALia</t>
  </si>
  <si>
    <t>pakISTAN</t>
  </si>
  <si>
    <t>rUSSIA</t>
  </si>
  <si>
    <t>aUSTRAlia</t>
  </si>
  <si>
    <t>inDIA</t>
  </si>
  <si>
    <t>pakistan</t>
  </si>
  <si>
    <t>GERMany</t>
  </si>
  <si>
    <t>Usa</t>
  </si>
  <si>
    <t>CANCER STAGE</t>
  </si>
  <si>
    <t>TARGET_SEVERITY_SCORE</t>
  </si>
  <si>
    <t>SURVIVAL_YEAR</t>
  </si>
  <si>
    <t xml:space="preserve"> TREATMENT COST USD</t>
  </si>
  <si>
    <t>GENETIC_RISK2</t>
  </si>
  <si>
    <t>AGE</t>
  </si>
  <si>
    <t>PATIENT_ID</t>
  </si>
  <si>
    <t>Row Labels</t>
  </si>
  <si>
    <t>Grand Total</t>
  </si>
  <si>
    <t>Column Labels</t>
  </si>
  <si>
    <t>Count of Patient_ID</t>
  </si>
  <si>
    <t>1. CANCER TYPE WISE PATIENT COUNT</t>
  </si>
  <si>
    <t>Average of Treatment_Cost_USD</t>
  </si>
  <si>
    <t>2. YEAR WISE TREATMENT COST-AVERAGE</t>
  </si>
  <si>
    <t>Average of Survival_Year</t>
  </si>
  <si>
    <t>3. CANCER STAGE WISE SURVIVAL YEARS-AVERAGE</t>
  </si>
  <si>
    <t>4. COUNTRY-WISE PATIENT COUNT</t>
  </si>
  <si>
    <t>5. GENDER WISE CANCER TYPE DISTRIBUTION</t>
  </si>
  <si>
    <t>6.CANCER TYPE WISE AVERAGE TREATMENT COST</t>
  </si>
  <si>
    <t>Column1</t>
  </si>
  <si>
    <t>SURVIVAL YEAR</t>
  </si>
  <si>
    <t>GENDER</t>
  </si>
  <si>
    <t>YEAR</t>
  </si>
  <si>
    <t>GENETIC_RISK</t>
  </si>
  <si>
    <t>SMOKING</t>
  </si>
  <si>
    <t>CANCER_TYPE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</si>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</sst>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$-409]#,##0.00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7"/>
      </patternFill>
    </fill>
    <fill>
      <patternFill patternType="solid">
        <fgColor theme="1"/>
        <bgColor theme="7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theme="8"/>
      </patternFill>
    </fill>
  </fills>
  <borders count="8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7"/>
      </right>
      <top style="thin">
        <color theme="4"/>
      </top>
      <bottom/>
      <diagonal/>
    </border>
    <border>
      <left/>
      <right style="thin">
        <color theme="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2" fontId="0" fillId="0" borderId="0" xfId="0" applyNumberFormat="1"/>
    <xf numFmtId="164" fontId="0" fillId="0" borderId="1" xfId="0" applyNumberFormat="1" applyBorder="1"/>
    <xf numFmtId="2" fontId="0" fillId="0" borderId="1" xfId="0" applyNumberFormat="1" applyBorder="1"/>
    <xf numFmtId="0" fontId="0" fillId="0" borderId="2" xfId="0" applyBorder="1"/>
    <xf numFmtId="165" fontId="0" fillId="0" borderId="0" xfId="0" applyNumberFormat="1"/>
    <xf numFmtId="0" fontId="2" fillId="0" borderId="0" xfId="0" applyFont="1" applyAlignment="1">
      <alignment vertical="center"/>
    </xf>
    <xf numFmtId="2" fontId="0" fillId="0" borderId="1" xfId="0" applyNumberFormat="1" applyBorder="1" applyAlignment="1">
      <alignment horizontal="right"/>
    </xf>
    <xf numFmtId="2" fontId="0" fillId="0" borderId="3" xfId="0" applyNumberFormat="1" applyBorder="1"/>
    <xf numFmtId="0" fontId="0" fillId="0" borderId="3" xfId="0" applyBorder="1"/>
    <xf numFmtId="0" fontId="1" fillId="3" borderId="0" xfId="0" applyFont="1" applyFill="1"/>
    <xf numFmtId="0" fontId="1" fillId="2" borderId="0" xfId="0" applyFont="1" applyFill="1"/>
    <xf numFmtId="0" fontId="1" fillId="3" borderId="4" xfId="0" applyFont="1" applyFill="1" applyBorder="1"/>
    <xf numFmtId="0" fontId="1" fillId="4" borderId="0" xfId="0" applyFont="1" applyFill="1"/>
    <xf numFmtId="0" fontId="1" fillId="5" borderId="0" xfId="0" applyFont="1" applyFill="1"/>
    <xf numFmtId="165" fontId="1" fillId="4" borderId="0" xfId="0" applyNumberFormat="1" applyFont="1" applyFill="1"/>
    <xf numFmtId="0" fontId="4" fillId="3" borderId="0" xfId="0" applyFont="1" applyFill="1"/>
    <xf numFmtId="0" fontId="0" fillId="0" borderId="5" xfId="0" pivotButton="1" applyBorder="1"/>
    <xf numFmtId="0" fontId="0" fillId="0" borderId="5" xfId="0" applyBorder="1"/>
    <xf numFmtId="0" fontId="0" fillId="0" borderId="5" xfId="0" applyBorder="1" applyAlignment="1">
      <alignment horizontal="left"/>
    </xf>
    <xf numFmtId="2" fontId="0" fillId="0" borderId="5" xfId="0" applyNumberFormat="1" applyBorder="1"/>
    <xf numFmtId="1" fontId="0" fillId="0" borderId="5" xfId="0" applyNumberFormat="1" applyBorder="1"/>
    <xf numFmtId="0" fontId="3" fillId="0" borderId="0" xfId="0" applyFont="1" applyAlignment="1">
      <alignment horizontal="center"/>
    </xf>
    <xf numFmtId="0" fontId="0" fillId="0" borderId="6" xfId="0" applyBorder="1"/>
    <xf numFmtId="0" fontId="3" fillId="0" borderId="6" xfId="0" applyFont="1" applyBorder="1" applyAlignment="1">
      <alignment horizontal="center"/>
    </xf>
    <xf numFmtId="1" fontId="0" fillId="0" borderId="0" xfId="0" applyNumberFormat="1"/>
    <xf numFmtId="0" fontId="0" fillId="0" borderId="7" xfId="0" applyBorder="1"/>
    <xf numFmtId="164" fontId="0" fillId="0" borderId="7" xfId="0" applyNumberFormat="1" applyBorder="1"/>
    <xf numFmtId="0" fontId="1" fillId="7" borderId="0" xfId="0" applyFont="1" applyFill="1"/>
    <xf numFmtId="0" fontId="3" fillId="6" borderId="6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83"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theme="7"/>
        </right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top style="thin">
          <color theme="7"/>
        </top>
        <bottom style="thin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7"/>
          <bgColor theme="9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</dxfs>
  <tableStyles count="0" defaultTableStyle="TableStyleMedium9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ika S" refreshedDate="46171.913226157405" createdVersion="8" refreshedVersion="8" minRefreshableVersion="3" recordCount="531" xr:uid="{C9ED1EB0-D7A7-4583-BFBB-E3E2F4DCEDE9}">
  <cacheSource type="worksheet">
    <worksheetSource ref="A1:O532" sheet="CLEANED FINAL"/>
  </cacheSource>
  <cacheFields count="15">
    <cacheField name="Patient_ID" numFmtId="0">
      <sharedItems/>
    </cacheField>
    <cacheField name="Age" numFmtId="0">
      <sharedItems containsSemiMixedTypes="0" containsString="0" containsNumber="1" containsInteger="1" minValue="5" maxValue="99"/>
    </cacheField>
    <cacheField name="Gender" numFmtId="0">
      <sharedItems count="4">
        <s v="Male"/>
        <s v="Female"/>
        <s v="Unknown"/>
        <s v="Other"/>
      </sharedItems>
    </cacheField>
    <cacheField name="Country_Region" numFmtId="0">
      <sharedItems count="10">
        <s v="Australia"/>
        <s v="Russia"/>
        <s v="China"/>
        <s v="Pakistan"/>
        <s v="Brazil"/>
        <s v="Germany"/>
        <s v="Canada"/>
        <s v="USA"/>
        <s v="UK"/>
        <s v="India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Genetic_Risk" numFmtId="164">
      <sharedItems containsSemiMixedTypes="0" containsString="0" containsNumber="1" minValue="0" maxValue="100"/>
    </cacheField>
    <cacheField name="Air_Pollution" numFmtId="0">
      <sharedItems containsSemiMixedTypes="0" containsString="0" containsNumber="1" minValue="0" maxValue="10"/>
    </cacheField>
    <cacheField name="Alcohol_Use" numFmtId="164">
      <sharedItems containsSemiMixedTypes="0" containsString="0" containsNumber="1" minValue="0" maxValue="10"/>
    </cacheField>
    <cacheField name="Smoking" numFmtId="164">
      <sharedItems containsSemiMixedTypes="0" containsString="0" containsNumber="1" minValue="0" maxValue="10"/>
    </cacheField>
    <cacheField name="Obesity_Level" numFmtId="164">
      <sharedItems containsSemiMixedTypes="0" containsString="0" containsNumber="1" minValue="0" maxValue="99"/>
    </cacheField>
    <cacheField name="Cancer_Type" numFmtId="0">
      <sharedItems count="9">
        <s v="Breast"/>
        <s v="Skin"/>
        <s v="Cervical"/>
        <s v="Leukemia"/>
        <s v="Lung"/>
        <s v="Unknown"/>
        <s v="Colon"/>
        <s v="Prostate"/>
        <s v="Liver"/>
      </sharedItems>
    </cacheField>
    <cacheField name="Cancer_Stage" numFmtId="0">
      <sharedItems count="5">
        <s v="Stage I"/>
        <s v="Stage III"/>
        <s v="Stage II"/>
        <s v="Stage IV"/>
        <s v="Stage 0"/>
      </sharedItems>
    </cacheField>
    <cacheField name="Treatment_Cost_USD" numFmtId="0">
      <sharedItems containsSemiMixedTypes="0" containsString="0" containsNumber="1" minValue="5541.08" maxValue="99709.77"/>
    </cacheField>
    <cacheField name="Survival_Year" numFmtId="0">
      <sharedItems containsSemiMixedTypes="0" containsString="0" containsNumber="1" minValue="0" maxValue="50"/>
    </cacheField>
    <cacheField name="Target_Severity_Score" numFmtId="0">
      <sharedItems containsSemiMixedTypes="0" containsString="0" containsNumber="1" minValue="1.65" maxValue="37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1">
  <r>
    <s v="PT0001777"/>
    <n v="60"/>
    <x v="0"/>
    <x v="0"/>
    <x v="0"/>
    <n v="6.1"/>
    <n v="2.1"/>
    <n v="6.3"/>
    <n v="4.6884057971014501"/>
    <n v="0.6"/>
    <x v="0"/>
    <x v="0"/>
    <n v="35502.54"/>
    <n v="7.4"/>
    <n v="3.93"/>
  </r>
  <r>
    <s v="PT0007169"/>
    <n v="87"/>
    <x v="1"/>
    <x v="1"/>
    <x v="0"/>
    <n v="7.5"/>
    <n v="8.5"/>
    <n v="0.9"/>
    <n v="2.7"/>
    <n v="8"/>
    <x v="1"/>
    <x v="1"/>
    <n v="10195.07"/>
    <n v="4"/>
    <n v="6.05"/>
  </r>
  <r>
    <s v="PT0007406"/>
    <n v="56"/>
    <x v="0"/>
    <x v="2"/>
    <x v="0"/>
    <n v="5.2"/>
    <n v="3.7"/>
    <n v="4.4000000000000004"/>
    <n v="3.8"/>
    <n v="8.1"/>
    <x v="2"/>
    <x v="2"/>
    <n v="8481.64"/>
    <n v="2.2000000000000002"/>
    <n v="5.66"/>
  </r>
  <r>
    <s v="PT0008765"/>
    <n v="29"/>
    <x v="1"/>
    <x v="3"/>
    <x v="0"/>
    <n v="1"/>
    <n v="9.1999999999999993"/>
    <n v="3.7"/>
    <n v="3.4"/>
    <n v="2.5"/>
    <x v="2"/>
    <x v="2"/>
    <n v="51711.040000000001"/>
    <n v="6.3"/>
    <n v="4.5"/>
  </r>
  <r>
    <s v="PT0009724"/>
    <n v="48"/>
    <x v="0"/>
    <x v="0"/>
    <x v="0"/>
    <n v="4.5"/>
    <n v="8.3000000000000007"/>
    <n v="5.9"/>
    <n v="2.1"/>
    <n v="7"/>
    <x v="3"/>
    <x v="2"/>
    <n v="67604.88"/>
    <n v="0.3"/>
    <n v="4.8"/>
  </r>
  <r>
    <s v="PT0009894"/>
    <n v="39"/>
    <x v="2"/>
    <x v="2"/>
    <x v="0"/>
    <n v="8.5"/>
    <n v="2.7"/>
    <n v="6.6"/>
    <n v="7.6"/>
    <n v="8.8000000000000007"/>
    <x v="4"/>
    <x v="1"/>
    <n v="73059.179999999993"/>
    <n v="5.3"/>
    <n v="6.03"/>
  </r>
  <r>
    <s v="PT0010069"/>
    <n v="84"/>
    <x v="1"/>
    <x v="4"/>
    <x v="0"/>
    <n v="8.4"/>
    <n v="6.3"/>
    <n v="1.9"/>
    <n v="1.9"/>
    <n v="8.5"/>
    <x v="5"/>
    <x v="2"/>
    <n v="78070.97"/>
    <n v="3.1"/>
    <n v="4.58"/>
  </r>
  <r>
    <s v="PT0010397"/>
    <n v="41"/>
    <x v="1"/>
    <x v="5"/>
    <x v="0"/>
    <n v="7.7"/>
    <n v="8.5"/>
    <n v="8.1999999999999993"/>
    <n v="5.4"/>
    <n v="7.6"/>
    <x v="6"/>
    <x v="2"/>
    <n v="95857.65"/>
    <n v="2.5"/>
    <n v="5.97"/>
  </r>
  <r>
    <s v="PT0010748"/>
    <n v="79"/>
    <x v="3"/>
    <x v="3"/>
    <x v="0"/>
    <n v="1.2"/>
    <n v="0.8"/>
    <n v="4.7451219512195113"/>
    <n v="3.4"/>
    <n v="0.9"/>
    <x v="3"/>
    <x v="0"/>
    <n v="69802.05"/>
    <n v="6.6"/>
    <n v="2.36"/>
  </r>
  <r>
    <s v="PT0010771"/>
    <n v="38"/>
    <x v="0"/>
    <x v="6"/>
    <x v="0"/>
    <n v="6.2"/>
    <n v="5.7"/>
    <n v="6.4"/>
    <n v="4.8504132231404968"/>
    <n v="3.4"/>
    <x v="0"/>
    <x v="2"/>
    <n v="59531.44"/>
    <n v="6.5"/>
    <n v="5.04"/>
  </r>
  <r>
    <s v="PT0011817"/>
    <n v="41"/>
    <x v="0"/>
    <x v="5"/>
    <x v="0"/>
    <n v="1.9"/>
    <n v="3.2"/>
    <n v="6.9"/>
    <n v="8.9"/>
    <n v="6"/>
    <x v="6"/>
    <x v="2"/>
    <n v="29291.96"/>
    <n v="3.2"/>
    <n v="5.69"/>
  </r>
  <r>
    <s v="PT0011915"/>
    <n v="69"/>
    <x v="3"/>
    <x v="5"/>
    <x v="0"/>
    <n v="0.2"/>
    <n v="2.9"/>
    <n v="9.8000000000000007"/>
    <n v="0.6"/>
    <n v="2.9"/>
    <x v="6"/>
    <x v="0"/>
    <n v="78214.320000000007"/>
    <n v="4.5"/>
    <n v="2.79"/>
  </r>
  <r>
    <s v="PT0012150"/>
    <n v="86"/>
    <x v="0"/>
    <x v="2"/>
    <x v="0"/>
    <n v="4.0999999999999996"/>
    <n v="9.3000000000000007"/>
    <n v="3.4"/>
    <n v="9.1"/>
    <n v="4.0999999999999996"/>
    <x v="5"/>
    <x v="2"/>
    <n v="91374.69"/>
    <n v="4.9000000000000004"/>
    <n v="5.13"/>
  </r>
  <r>
    <s v="PT0012271"/>
    <n v="24"/>
    <x v="1"/>
    <x v="1"/>
    <x v="0"/>
    <n v="5.4"/>
    <n v="8.4"/>
    <n v="8.4"/>
    <n v="7.2"/>
    <n v="7.7"/>
    <x v="7"/>
    <x v="1"/>
    <n v="26542.86"/>
    <n v="7.4"/>
    <n v="7.28"/>
  </r>
  <r>
    <s v="PT0012308"/>
    <n v="29"/>
    <x v="0"/>
    <x v="3"/>
    <x v="0"/>
    <n v="0.6"/>
    <n v="6.1"/>
    <n v="4.7"/>
    <n v="7.9"/>
    <n v="8.1999999999999993"/>
    <x v="7"/>
    <x v="2"/>
    <n v="96688.1"/>
    <n v="7.6"/>
    <n v="4.21"/>
  </r>
  <r>
    <s v="PT0012317"/>
    <n v="25"/>
    <x v="0"/>
    <x v="5"/>
    <x v="0"/>
    <n v="4.6686046511627888"/>
    <n v="1.7"/>
    <n v="2.2999999999999998"/>
    <n v="3.2"/>
    <n v="8.1"/>
    <x v="3"/>
    <x v="2"/>
    <n v="70112.320000000007"/>
    <n v="7.9"/>
    <n v="4.1500000000000004"/>
  </r>
  <r>
    <s v="PT0012527"/>
    <n v="22"/>
    <x v="1"/>
    <x v="3"/>
    <x v="0"/>
    <n v="4.2"/>
    <n v="6.9"/>
    <n v="6.4"/>
    <n v="6.2"/>
    <n v="5.3"/>
    <x v="2"/>
    <x v="2"/>
    <n v="63008.99"/>
    <n v="0.5"/>
    <n v="5.34"/>
  </r>
  <r>
    <s v="PT0012530"/>
    <n v="65"/>
    <x v="3"/>
    <x v="6"/>
    <x v="0"/>
    <n v="8.5"/>
    <n v="3.8"/>
    <n v="4.7"/>
    <n v="2.7"/>
    <n v="3.3"/>
    <x v="7"/>
    <x v="2"/>
    <n v="55925.25"/>
    <n v="5.9"/>
    <n v="4.7300000000000004"/>
  </r>
  <r>
    <s v="PT0012885"/>
    <n v="57"/>
    <x v="2"/>
    <x v="5"/>
    <x v="0"/>
    <n v="0.4"/>
    <n v="0.3"/>
    <n v="5.3"/>
    <n v="7.1"/>
    <n v="1.9"/>
    <x v="1"/>
    <x v="0"/>
    <n v="86571.26"/>
    <n v="7"/>
    <n v="2.8"/>
  </r>
  <r>
    <s v="PT0013083"/>
    <n v="78"/>
    <x v="2"/>
    <x v="1"/>
    <x v="0"/>
    <n v="2.9"/>
    <n v="5.2"/>
    <n v="2.9"/>
    <n v="4"/>
    <n v="1.8"/>
    <x v="7"/>
    <x v="0"/>
    <n v="45484.05"/>
    <n v="0.4"/>
    <n v="3.87"/>
  </r>
  <r>
    <s v="PT0013116"/>
    <n v="63"/>
    <x v="3"/>
    <x v="5"/>
    <x v="0"/>
    <n v="9.8000000000000007"/>
    <n v="2"/>
    <n v="1.4"/>
    <n v="2.5"/>
    <n v="0.5"/>
    <x v="7"/>
    <x v="2"/>
    <n v="15087.76"/>
    <n v="6.8"/>
    <n v="4.72"/>
  </r>
  <r>
    <s v="PT0013233"/>
    <n v="82"/>
    <x v="3"/>
    <x v="5"/>
    <x v="0"/>
    <n v="6.6"/>
    <n v="6"/>
    <n v="1.4"/>
    <n v="4.0999999999999996"/>
    <n v="4.9000000000000004"/>
    <x v="2"/>
    <x v="3"/>
    <n v="58080.73"/>
    <n v="9.6"/>
    <n v="23.07"/>
  </r>
  <r>
    <s v="PT0013484"/>
    <n v="29"/>
    <x v="0"/>
    <x v="6"/>
    <x v="0"/>
    <n v="1.5"/>
    <n v="1.8"/>
    <n v="2.4"/>
    <n v="0.3"/>
    <n v="8"/>
    <x v="6"/>
    <x v="0"/>
    <n v="54952.58"/>
    <n v="7.2"/>
    <n v="2.0699999999999998"/>
  </r>
  <r>
    <s v="PT0013519"/>
    <n v="66"/>
    <x v="1"/>
    <x v="7"/>
    <x v="0"/>
    <n v="1.5"/>
    <n v="1.7"/>
    <n v="6.1"/>
    <n v="6.3"/>
    <n v="1.2"/>
    <x v="3"/>
    <x v="2"/>
    <n v="8263.86"/>
    <n v="5.6"/>
    <n v="4.68"/>
  </r>
  <r>
    <s v="PT0014112"/>
    <n v="82"/>
    <x v="3"/>
    <x v="8"/>
    <x v="0"/>
    <n v="5.2613496932515389"/>
    <n v="0"/>
    <n v="7"/>
    <n v="5.3"/>
    <n v="4.8"/>
    <x v="6"/>
    <x v="2"/>
    <n v="43644.15"/>
    <n v="2.6"/>
    <n v="5.32"/>
  </r>
  <r>
    <s v="PT0014430"/>
    <n v="33"/>
    <x v="3"/>
    <x v="9"/>
    <x v="0"/>
    <n v="3.6"/>
    <n v="5"/>
    <n v="9.3000000000000007"/>
    <n v="6.7"/>
    <n v="3.2"/>
    <x v="6"/>
    <x v="1"/>
    <n v="47968.17"/>
    <n v="0.9"/>
    <n v="6.2"/>
  </r>
  <r>
    <s v="PT0014704"/>
    <n v="77"/>
    <x v="3"/>
    <x v="4"/>
    <x v="0"/>
    <n v="9.1"/>
    <n v="3.1"/>
    <n v="4.7348214285714274"/>
    <n v="2"/>
    <n v="4.2"/>
    <x v="8"/>
    <x v="0"/>
    <n v="65662.77"/>
    <n v="2.7"/>
    <n v="3.82"/>
  </r>
  <r>
    <s v="PT0015205"/>
    <n v="37"/>
    <x v="3"/>
    <x v="5"/>
    <x v="0"/>
    <n v="0.3"/>
    <n v="7.3"/>
    <n v="10"/>
    <n v="6.5"/>
    <n v="1.1000000000000001"/>
    <x v="7"/>
    <x v="2"/>
    <n v="28351.3"/>
    <n v="8.1"/>
    <n v="5.5"/>
  </r>
  <r>
    <s v="PT0015348"/>
    <n v="70"/>
    <x v="0"/>
    <x v="0"/>
    <x v="0"/>
    <n v="8.6"/>
    <n v="2.2999999999999998"/>
    <n v="8.6"/>
    <n v="3"/>
    <n v="5.4"/>
    <x v="8"/>
    <x v="2"/>
    <n v="84414.11"/>
    <n v="4"/>
    <n v="4.8099999999999996"/>
  </r>
  <r>
    <s v="PT0015405"/>
    <n v="37"/>
    <x v="3"/>
    <x v="8"/>
    <x v="0"/>
    <n v="1.7"/>
    <n v="5.0999999999999996"/>
    <n v="5.2"/>
    <n v="5.6"/>
    <n v="1.6"/>
    <x v="1"/>
    <x v="0"/>
    <n v="72733.94"/>
    <n v="5.6"/>
    <n v="3.71"/>
  </r>
  <r>
    <s v="PT0015541"/>
    <n v="62"/>
    <x v="1"/>
    <x v="9"/>
    <x v="0"/>
    <n v="6.8"/>
    <n v="9.6"/>
    <n v="8.6"/>
    <n v="1.5"/>
    <n v="5.2"/>
    <x v="1"/>
    <x v="1"/>
    <n v="17771.849999999999"/>
    <n v="7.1"/>
    <n v="6.55"/>
  </r>
  <r>
    <s v="PT0015543"/>
    <n v="54"/>
    <x v="0"/>
    <x v="1"/>
    <x v="0"/>
    <n v="1.8"/>
    <n v="0.9"/>
    <n v="9.9"/>
    <n v="5.6"/>
    <n v="2.2999999999999998"/>
    <x v="8"/>
    <x v="0"/>
    <n v="67907.210000000006"/>
    <n v="0.5"/>
    <n v="3.97"/>
  </r>
  <r>
    <s v="PT0015756"/>
    <n v="67"/>
    <x v="0"/>
    <x v="6"/>
    <x v="0"/>
    <n v="8.1999999999999993"/>
    <n v="4.3"/>
    <n v="6.7"/>
    <n v="4.8"/>
    <n v="2.2000000000000002"/>
    <x v="3"/>
    <x v="2"/>
    <n v="59260.18"/>
    <n v="1"/>
    <n v="5.28"/>
  </r>
  <r>
    <s v="PT0015758"/>
    <n v="73"/>
    <x v="1"/>
    <x v="0"/>
    <x v="0"/>
    <n v="8.6"/>
    <n v="10"/>
    <n v="4.7811475409836079"/>
    <n v="1.2"/>
    <n v="9.1999999999999993"/>
    <x v="8"/>
    <x v="1"/>
    <n v="13970.02"/>
    <n v="9.1"/>
    <n v="7.09"/>
  </r>
  <r>
    <s v="PT0015942"/>
    <n v="84"/>
    <x v="3"/>
    <x v="6"/>
    <x v="0"/>
    <n v="8"/>
    <n v="2.9"/>
    <n v="5"/>
    <n v="5.2"/>
    <n v="0.3"/>
    <x v="8"/>
    <x v="0"/>
    <n v="94884.47"/>
    <n v="8.9"/>
    <n v="3.96"/>
  </r>
  <r>
    <s v="PT0016008"/>
    <n v="83"/>
    <x v="1"/>
    <x v="8"/>
    <x v="0"/>
    <n v="1"/>
    <n v="6.5"/>
    <n v="2.4"/>
    <n v="3.5"/>
    <n v="9.9"/>
    <x v="3"/>
    <x v="2"/>
    <n v="18371.580000000002"/>
    <n v="5.5"/>
    <n v="4.8600000000000003"/>
  </r>
  <r>
    <s v="PT0016136"/>
    <n v="21"/>
    <x v="1"/>
    <x v="1"/>
    <x v="0"/>
    <n v="6"/>
    <n v="3.6"/>
    <n v="4.2"/>
    <n v="4.3"/>
    <n v="1.5"/>
    <x v="4"/>
    <x v="2"/>
    <n v="27770.22"/>
    <n v="4.8"/>
    <n v="4.82"/>
  </r>
  <r>
    <s v="PT0016285"/>
    <n v="73"/>
    <x v="0"/>
    <x v="2"/>
    <x v="0"/>
    <n v="8.5"/>
    <n v="9.6"/>
    <n v="5.9"/>
    <n v="8.9"/>
    <n v="7.1"/>
    <x v="0"/>
    <x v="1"/>
    <n v="26576.46"/>
    <n v="0.7"/>
    <n v="7.98"/>
  </r>
  <r>
    <s v="PT0016813"/>
    <n v="84"/>
    <x v="1"/>
    <x v="5"/>
    <x v="0"/>
    <n v="4.5743801652892566"/>
    <n v="7.4"/>
    <n v="3"/>
    <n v="7.4"/>
    <n v="8.5"/>
    <x v="8"/>
    <x v="2"/>
    <n v="86653.1"/>
    <n v="1.5"/>
    <n v="4.46"/>
  </r>
  <r>
    <s v="PT0016951"/>
    <n v="67"/>
    <x v="1"/>
    <x v="8"/>
    <x v="0"/>
    <n v="1.8"/>
    <n v="10"/>
    <n v="7.8"/>
    <n v="2.5"/>
    <n v="7"/>
    <x v="0"/>
    <x v="2"/>
    <n v="24917.87"/>
    <n v="2.6"/>
    <n v="5.73"/>
  </r>
  <r>
    <s v="PT0017206"/>
    <n v="84"/>
    <x v="0"/>
    <x v="2"/>
    <x v="0"/>
    <n v="8.4"/>
    <n v="8.8000000000000007"/>
    <n v="1.4"/>
    <n v="5.3"/>
    <n v="8.6999999999999993"/>
    <x v="8"/>
    <x v="1"/>
    <n v="55387.29"/>
    <n v="2.6"/>
    <n v="7.02"/>
  </r>
  <r>
    <s v="PT0017725"/>
    <n v="51"/>
    <x v="1"/>
    <x v="4"/>
    <x v="0"/>
    <n v="1"/>
    <n v="0.2"/>
    <n v="7"/>
    <n v="7.4"/>
    <n v="0.2"/>
    <x v="0"/>
    <x v="0"/>
    <n v="66913.42"/>
    <n v="3.9"/>
    <n v="3.44"/>
  </r>
  <r>
    <s v="PT0017934"/>
    <n v="76"/>
    <x v="1"/>
    <x v="6"/>
    <x v="0"/>
    <n v="3.6"/>
    <n v="5.7"/>
    <n v="5.2"/>
    <n v="3.2"/>
    <n v="5.4790697674418611"/>
    <x v="0"/>
    <x v="3"/>
    <n v="19349.740000000002"/>
    <n v="3.9"/>
    <n v="24.2"/>
  </r>
  <r>
    <s v="PT0018060"/>
    <n v="58"/>
    <x v="0"/>
    <x v="6"/>
    <x v="0"/>
    <n v="5.7"/>
    <n v="4.4000000000000004"/>
    <n v="6.3"/>
    <n v="1.9"/>
    <n v="6.2"/>
    <x v="1"/>
    <x v="2"/>
    <n v="73493.03"/>
    <n v="6.7"/>
    <n v="4.28"/>
  </r>
  <r>
    <s v="PT0018171"/>
    <n v="32"/>
    <x v="0"/>
    <x v="4"/>
    <x v="0"/>
    <n v="4.4000000000000004"/>
    <n v="6.9"/>
    <n v="4.7"/>
    <n v="1.8"/>
    <n v="3.1"/>
    <x v="1"/>
    <x v="0"/>
    <n v="82073.36"/>
    <n v="1.3"/>
    <n v="3.65"/>
  </r>
  <r>
    <s v="PT0018542"/>
    <n v="29"/>
    <x v="3"/>
    <x v="2"/>
    <x v="0"/>
    <n v="8.1999999999999993"/>
    <n v="0.6"/>
    <n v="6.8"/>
    <n v="8.3000000000000007"/>
    <n v="8.3000000000000007"/>
    <x v="2"/>
    <x v="1"/>
    <n v="55375.19"/>
    <n v="5.4"/>
    <n v="6.13"/>
  </r>
  <r>
    <s v="PT0018608"/>
    <n v="61"/>
    <x v="3"/>
    <x v="4"/>
    <x v="0"/>
    <n v="9"/>
    <n v="9.1999999999999993"/>
    <n v="1.3"/>
    <n v="0.8"/>
    <n v="4"/>
    <x v="3"/>
    <x v="2"/>
    <n v="30098.43"/>
    <n v="1.9"/>
    <n v="5.33"/>
  </r>
  <r>
    <s v="PT0018723"/>
    <n v="62"/>
    <x v="0"/>
    <x v="8"/>
    <x v="0"/>
    <n v="6.5"/>
    <n v="6.6"/>
    <n v="7.4"/>
    <n v="3.6"/>
    <n v="9.6"/>
    <x v="4"/>
    <x v="3"/>
    <n v="50197.81"/>
    <n v="9.6"/>
    <n v="33.770000000000003"/>
  </r>
  <r>
    <s v="PT0019302"/>
    <n v="39"/>
    <x v="1"/>
    <x v="0"/>
    <x v="0"/>
    <n v="9.9"/>
    <n v="5.2"/>
    <n v="4.3"/>
    <n v="4"/>
    <n v="5.4"/>
    <x v="5"/>
    <x v="2"/>
    <n v="99283.8"/>
    <n v="5.5"/>
    <n v="4.76"/>
  </r>
  <r>
    <s v="PT0019677"/>
    <n v="71"/>
    <x v="1"/>
    <x v="5"/>
    <x v="0"/>
    <n v="4.0999999999999996"/>
    <n v="5.5"/>
    <n v="8.6999999999999993"/>
    <n v="0.9"/>
    <n v="7.4"/>
    <x v="0"/>
    <x v="2"/>
    <n v="26259.96"/>
    <n v="5.3"/>
    <n v="5.34"/>
  </r>
  <r>
    <s v="PT0020314"/>
    <n v="23"/>
    <x v="3"/>
    <x v="0"/>
    <x v="0"/>
    <n v="3.4"/>
    <n v="8.1"/>
    <n v="3.1"/>
    <n v="10"/>
    <n v="3.6"/>
    <x v="2"/>
    <x v="2"/>
    <n v="44414.54"/>
    <n v="6.6"/>
    <n v="5.83"/>
  </r>
  <r>
    <s v="PT0020776"/>
    <n v="60"/>
    <x v="0"/>
    <x v="8"/>
    <x v="0"/>
    <n v="3.3"/>
    <n v="4.8"/>
    <n v="5"/>
    <n v="8.4"/>
    <n v="6.8"/>
    <x v="4"/>
    <x v="2"/>
    <n v="26869.3"/>
    <n v="4.7"/>
    <n v="5.95"/>
  </r>
  <r>
    <s v="PT0020787"/>
    <n v="85"/>
    <x v="0"/>
    <x v="0"/>
    <x v="0"/>
    <n v="5.8"/>
    <n v="5.0999999999999996"/>
    <n v="3.3"/>
    <n v="2.8"/>
    <n v="0.3"/>
    <x v="6"/>
    <x v="2"/>
    <n v="30473.040000000001"/>
    <n v="2.4"/>
    <n v="4.4000000000000004"/>
  </r>
  <r>
    <s v="PT0021401"/>
    <n v="26"/>
    <x v="2"/>
    <x v="4"/>
    <x v="0"/>
    <n v="1.6"/>
    <n v="9.6999999999999993"/>
    <n v="0.9"/>
    <n v="7.1"/>
    <n v="4"/>
    <x v="3"/>
    <x v="2"/>
    <n v="32975.019999999997"/>
    <n v="2.4"/>
    <n v="5.07"/>
  </r>
  <r>
    <s v="PT0022455"/>
    <n v="83"/>
    <x v="0"/>
    <x v="8"/>
    <x v="0"/>
    <n v="5.5"/>
    <n v="0.6"/>
    <n v="6.5"/>
    <n v="3.3"/>
    <n v="3.9"/>
    <x v="6"/>
    <x v="0"/>
    <n v="82787.94"/>
    <n v="5.5"/>
    <n v="3.56"/>
  </r>
  <r>
    <s v="PT0023016"/>
    <n v="61"/>
    <x v="0"/>
    <x v="3"/>
    <x v="0"/>
    <n v="5.7"/>
    <n v="6.3"/>
    <n v="3.9"/>
    <n v="9.8000000000000007"/>
    <n v="1.7"/>
    <x v="2"/>
    <x v="2"/>
    <n v="55287.44"/>
    <n v="3.3"/>
    <n v="5.69"/>
  </r>
  <r>
    <s v="PT0023733"/>
    <n v="20"/>
    <x v="1"/>
    <x v="4"/>
    <x v="0"/>
    <n v="5.0999999999999996"/>
    <n v="5"/>
    <n v="1.3"/>
    <n v="4.2"/>
    <n v="9.1999999999999993"/>
    <x v="7"/>
    <x v="2"/>
    <n v="66574.570000000007"/>
    <n v="2.6"/>
    <n v="4.92"/>
  </r>
  <r>
    <s v="PT0023994"/>
    <n v="62"/>
    <x v="1"/>
    <x v="2"/>
    <x v="0"/>
    <n v="2.6"/>
    <n v="9"/>
    <n v="7.5"/>
    <n v="5.4"/>
    <n v="9.6999999999999993"/>
    <x v="8"/>
    <x v="1"/>
    <n v="32962.75"/>
    <n v="5"/>
    <n v="6.39"/>
  </r>
  <r>
    <s v="PT0024251"/>
    <n v="22"/>
    <x v="1"/>
    <x v="9"/>
    <x v="0"/>
    <n v="7.3"/>
    <n v="3.6"/>
    <n v="7.4"/>
    <n v="5.5"/>
    <n v="1.3"/>
    <x v="6"/>
    <x v="2"/>
    <n v="41646.71"/>
    <n v="4.8"/>
    <n v="5.51"/>
  </r>
  <r>
    <s v="PT0024724"/>
    <n v="89"/>
    <x v="1"/>
    <x v="2"/>
    <x v="0"/>
    <n v="1.2"/>
    <n v="1"/>
    <n v="8.1"/>
    <n v="4.3"/>
    <n v="6.8"/>
    <x v="8"/>
    <x v="3"/>
    <n v="50944.79"/>
    <n v="6.7"/>
    <n v="21.95"/>
  </r>
  <r>
    <s v="PT0025038"/>
    <n v="89"/>
    <x v="2"/>
    <x v="9"/>
    <x v="0"/>
    <n v="0.3"/>
    <n v="4.2"/>
    <n v="0.6"/>
    <n v="4.3"/>
    <n v="6.6"/>
    <x v="4"/>
    <x v="0"/>
    <n v="52426.44"/>
    <n v="2.1"/>
    <n v="2.82"/>
  </r>
  <r>
    <s v="PT0025596"/>
    <n v="54"/>
    <x v="0"/>
    <x v="6"/>
    <x v="0"/>
    <n v="9.6"/>
    <n v="1.7"/>
    <n v="3.3"/>
    <n v="8.5"/>
    <n v="6.6"/>
    <x v="5"/>
    <x v="2"/>
    <n v="95189.39"/>
    <n v="4.5999999999999996"/>
    <n v="5.13"/>
  </r>
  <r>
    <s v="PT0026091"/>
    <n v="87"/>
    <x v="1"/>
    <x v="4"/>
    <x v="0"/>
    <n v="1.3"/>
    <n v="9.1999999999999993"/>
    <n v="8.1999999999999993"/>
    <n v="2.9"/>
    <n v="2.2000000000000002"/>
    <x v="8"/>
    <x v="0"/>
    <n v="96566.96"/>
    <n v="2.4"/>
    <n v="3.74"/>
  </r>
  <r>
    <s v="PT0026233"/>
    <n v="35"/>
    <x v="1"/>
    <x v="6"/>
    <x v="0"/>
    <n v="8.3000000000000007"/>
    <n v="9.8000000000000007"/>
    <n v="8.3000000000000007"/>
    <n v="8.4"/>
    <n v="4.8"/>
    <x v="6"/>
    <x v="3"/>
    <n v="14037.39"/>
    <n v="7.2"/>
    <n v="8.25"/>
  </r>
  <r>
    <s v="PT0026649"/>
    <n v="27"/>
    <x v="0"/>
    <x v="9"/>
    <x v="0"/>
    <n v="0.4"/>
    <n v="5.8"/>
    <n v="0.3"/>
    <n v="4.8641509433962264"/>
    <n v="2.2999999999999998"/>
    <x v="8"/>
    <x v="0"/>
    <n v="25337.75"/>
    <n v="7.8"/>
    <n v="3.18"/>
  </r>
  <r>
    <s v="PT0026700"/>
    <n v="80"/>
    <x v="1"/>
    <x v="9"/>
    <x v="0"/>
    <n v="0.5"/>
    <n v="6.1"/>
    <n v="2.6"/>
    <n v="4.5999999999999996"/>
    <n v="3.5"/>
    <x v="7"/>
    <x v="2"/>
    <n v="33002.339999999997"/>
    <n v="3.1"/>
    <n v="4.01"/>
  </r>
  <r>
    <s v="PT0026716"/>
    <n v="35"/>
    <x v="3"/>
    <x v="5"/>
    <x v="0"/>
    <n v="2.7"/>
    <n v="7.3"/>
    <n v="3.3"/>
    <n v="3.8"/>
    <n v="5.9065573770491815"/>
    <x v="0"/>
    <x v="2"/>
    <n v="66111.39"/>
    <n v="4.5999999999999996"/>
    <n v="4.1100000000000003"/>
  </r>
  <r>
    <s v="PT0026830"/>
    <n v="22"/>
    <x v="1"/>
    <x v="2"/>
    <x v="0"/>
    <n v="6.5"/>
    <n v="5"/>
    <n v="6.7"/>
    <n v="4"/>
    <n v="4"/>
    <x v="4"/>
    <x v="2"/>
    <n v="54884.27"/>
    <n v="4.5999999999999996"/>
    <n v="4.4400000000000004"/>
  </r>
  <r>
    <s v="PT0026851"/>
    <n v="26"/>
    <x v="3"/>
    <x v="5"/>
    <x v="0"/>
    <n v="6.6"/>
    <n v="8.1999999999999993"/>
    <n v="5"/>
    <n v="1.8"/>
    <n v="6.6"/>
    <x v="1"/>
    <x v="2"/>
    <n v="49346.17"/>
    <n v="8.6"/>
    <n v="5.33"/>
  </r>
  <r>
    <s v="PT0027360"/>
    <n v="47"/>
    <x v="0"/>
    <x v="2"/>
    <x v="0"/>
    <n v="7.7"/>
    <n v="0.8"/>
    <n v="1.5"/>
    <n v="1.2"/>
    <n v="3.1"/>
    <x v="0"/>
    <x v="0"/>
    <n v="65539.259999999995"/>
    <n v="8.1999999999999993"/>
    <n v="3.12"/>
  </r>
  <r>
    <s v="PT0027386"/>
    <n v="21"/>
    <x v="3"/>
    <x v="5"/>
    <x v="0"/>
    <n v="5.4"/>
    <n v="1.4"/>
    <n v="4"/>
    <n v="2.7"/>
    <n v="6.9"/>
    <x v="6"/>
    <x v="0"/>
    <n v="76352.539999999994"/>
    <n v="2.9"/>
    <n v="3.59"/>
  </r>
  <r>
    <s v="PT0027514"/>
    <n v="27"/>
    <x v="0"/>
    <x v="1"/>
    <x v="0"/>
    <n v="3.5"/>
    <n v="6.2"/>
    <n v="7.6"/>
    <n v="5.6"/>
    <n v="9.6"/>
    <x v="6"/>
    <x v="2"/>
    <n v="73783.570000000007"/>
    <n v="8.8000000000000007"/>
    <n v="5.37"/>
  </r>
  <r>
    <s v="PT0027695"/>
    <n v="82"/>
    <x v="1"/>
    <x v="6"/>
    <x v="0"/>
    <n v="6.8"/>
    <n v="5"/>
    <n v="2.6"/>
    <n v="1.7"/>
    <n v="3.2"/>
    <x v="8"/>
    <x v="0"/>
    <n v="68976.17"/>
    <n v="2.1"/>
    <n v="3.78"/>
  </r>
  <r>
    <s v="PT0027858"/>
    <n v="61"/>
    <x v="1"/>
    <x v="5"/>
    <x v="0"/>
    <n v="5.2"/>
    <n v="1.9"/>
    <n v="3.3"/>
    <n v="4.9000000000000004"/>
    <n v="4.3"/>
    <x v="1"/>
    <x v="3"/>
    <n v="49559.61"/>
    <n v="3"/>
    <n v="20.77"/>
  </r>
  <r>
    <s v="PT0027893"/>
    <n v="29"/>
    <x v="0"/>
    <x v="0"/>
    <x v="0"/>
    <n v="3.5"/>
    <n v="8.8000000000000007"/>
    <n v="7.2"/>
    <n v="8.9"/>
    <n v="8"/>
    <x v="4"/>
    <x v="1"/>
    <n v="24121.62"/>
    <n v="9.3000000000000007"/>
    <n v="7.2"/>
  </r>
  <r>
    <s v="PT0028155"/>
    <n v="88"/>
    <x v="0"/>
    <x v="2"/>
    <x v="0"/>
    <n v="2.2000000000000002"/>
    <n v="8.5"/>
    <n v="5.6"/>
    <n v="0.5"/>
    <n v="8.8000000000000007"/>
    <x v="7"/>
    <x v="2"/>
    <n v="8166.3"/>
    <n v="6.2"/>
    <n v="5.37"/>
  </r>
  <r>
    <s v="PT0028172"/>
    <n v="48"/>
    <x v="1"/>
    <x v="3"/>
    <x v="0"/>
    <n v="8.6"/>
    <n v="1.9"/>
    <n v="6.3"/>
    <n v="6"/>
    <n v="7.9"/>
    <x v="6"/>
    <x v="2"/>
    <n v="88035.7"/>
    <n v="2.2000000000000002"/>
    <n v="5.18"/>
  </r>
  <r>
    <s v="PT0028199"/>
    <n v="83"/>
    <x v="0"/>
    <x v="5"/>
    <x v="0"/>
    <n v="6.3"/>
    <n v="3.6"/>
    <n v="3.1"/>
    <n v="8"/>
    <n v="7.4"/>
    <x v="7"/>
    <x v="3"/>
    <n v="67506.33"/>
    <n v="5.5"/>
    <n v="29.15"/>
  </r>
  <r>
    <s v="PT0028287"/>
    <n v="86"/>
    <x v="3"/>
    <x v="7"/>
    <x v="0"/>
    <n v="7.9"/>
    <n v="1.2"/>
    <n v="5.7"/>
    <n v="2.6"/>
    <n v="7.3"/>
    <x v="2"/>
    <x v="2"/>
    <n v="30392.22"/>
    <n v="6"/>
    <n v="5.26"/>
  </r>
  <r>
    <s v="PT0028530"/>
    <n v="50"/>
    <x v="1"/>
    <x v="6"/>
    <x v="0"/>
    <n v="5.9"/>
    <n v="4"/>
    <n v="1.1000000000000001"/>
    <n v="4.8205357142857155"/>
    <n v="3.7"/>
    <x v="0"/>
    <x v="2"/>
    <n v="13558.14"/>
    <n v="3.5"/>
    <n v="5.92"/>
  </r>
  <r>
    <s v="PT0029094"/>
    <n v="62"/>
    <x v="2"/>
    <x v="5"/>
    <x v="0"/>
    <n v="4.5999999999999996"/>
    <n v="5.6"/>
    <n v="6.8"/>
    <n v="0.8"/>
    <n v="5.5"/>
    <x v="6"/>
    <x v="2"/>
    <n v="20570.330000000002"/>
    <n v="6.5"/>
    <n v="5.08"/>
  </r>
  <r>
    <s v="PT0029264"/>
    <n v="85"/>
    <x v="0"/>
    <x v="6"/>
    <x v="0"/>
    <n v="4.3"/>
    <n v="1.6"/>
    <n v="5.3"/>
    <n v="6.3"/>
    <n v="7.6"/>
    <x v="2"/>
    <x v="2"/>
    <n v="28148.09"/>
    <n v="9.4"/>
    <n v="5.35"/>
  </r>
  <r>
    <s v="PT0029547"/>
    <n v="78"/>
    <x v="3"/>
    <x v="9"/>
    <x v="0"/>
    <n v="5.0999999999999996"/>
    <n v="8"/>
    <n v="1.8"/>
    <n v="4"/>
    <n v="3.9"/>
    <x v="0"/>
    <x v="2"/>
    <n v="14492.38"/>
    <n v="4.8"/>
    <n v="5.39"/>
  </r>
  <r>
    <s v="PT0029565"/>
    <n v="81"/>
    <x v="2"/>
    <x v="8"/>
    <x v="0"/>
    <n v="9.4"/>
    <n v="8.4"/>
    <n v="0.5"/>
    <n v="3.5"/>
    <n v="4.4000000000000004"/>
    <x v="7"/>
    <x v="2"/>
    <n v="44628.76"/>
    <n v="7.5"/>
    <n v="5.46"/>
  </r>
  <r>
    <s v="PT0029568"/>
    <n v="40"/>
    <x v="1"/>
    <x v="2"/>
    <x v="0"/>
    <n v="0.3"/>
    <n v="4"/>
    <n v="9.1"/>
    <n v="4.3"/>
    <n v="8.8000000000000007"/>
    <x v="1"/>
    <x v="3"/>
    <n v="27050"/>
    <n v="3.6"/>
    <n v="27.57"/>
  </r>
  <r>
    <s v="PT0029607"/>
    <n v="70"/>
    <x v="0"/>
    <x v="8"/>
    <x v="0"/>
    <n v="4"/>
    <n v="8"/>
    <n v="0.7"/>
    <n v="3.9"/>
    <n v="4.8"/>
    <x v="3"/>
    <x v="2"/>
    <n v="40345.82"/>
    <n v="4.9000000000000004"/>
    <n v="4.5599999999999996"/>
  </r>
  <r>
    <s v="PT0029786"/>
    <n v="20"/>
    <x v="1"/>
    <x v="7"/>
    <x v="0"/>
    <n v="0.9"/>
    <n v="1.5"/>
    <n v="2.1"/>
    <n v="0.7"/>
    <n v="9.6"/>
    <x v="7"/>
    <x v="0"/>
    <n v="68597.259999999995"/>
    <n v="0.3"/>
    <n v="2.4500000000000002"/>
  </r>
  <r>
    <s v="PT0029907"/>
    <n v="51"/>
    <x v="3"/>
    <x v="0"/>
    <x v="0"/>
    <n v="9.8000000000000007"/>
    <n v="7.8"/>
    <n v="6.2"/>
    <n v="4.2"/>
    <n v="5.0428571428571427"/>
    <x v="4"/>
    <x v="2"/>
    <n v="92809.5"/>
    <n v="3.2"/>
    <n v="5.53"/>
  </r>
  <r>
    <s v="PT0029966"/>
    <n v="64"/>
    <x v="3"/>
    <x v="8"/>
    <x v="0"/>
    <n v="7.9"/>
    <n v="3.4"/>
    <n v="5.3"/>
    <n v="4.4000000000000004"/>
    <n v="1.9"/>
    <x v="2"/>
    <x v="2"/>
    <n v="33761.47"/>
    <n v="4"/>
    <n v="5.28"/>
  </r>
  <r>
    <s v="PT0029975"/>
    <n v="24"/>
    <x v="0"/>
    <x v="0"/>
    <x v="0"/>
    <n v="5.7"/>
    <n v="3.5"/>
    <n v="5.8"/>
    <n v="1.7"/>
    <n v="0.2"/>
    <x v="6"/>
    <x v="2"/>
    <n v="17248.919999999998"/>
    <n v="7.7"/>
    <n v="4.55"/>
  </r>
  <r>
    <s v="PT0030021"/>
    <n v="38"/>
    <x v="0"/>
    <x v="1"/>
    <x v="0"/>
    <n v="0.1"/>
    <n v="4.5999999999999996"/>
    <n v="5.5"/>
    <n v="1.1000000000000001"/>
    <n v="9.4"/>
    <x v="3"/>
    <x v="0"/>
    <n v="90584.37"/>
    <n v="9.6"/>
    <n v="2.88"/>
  </r>
  <r>
    <s v="PT0030069"/>
    <n v="37"/>
    <x v="1"/>
    <x v="8"/>
    <x v="0"/>
    <n v="9.8000000000000007"/>
    <n v="8.1999999999999993"/>
    <n v="4.5999999999999996"/>
    <n v="9.5"/>
    <n v="8"/>
    <x v="2"/>
    <x v="1"/>
    <n v="36919.410000000003"/>
    <n v="2"/>
    <n v="7.84"/>
  </r>
  <r>
    <s v="PT0030119"/>
    <n v="42"/>
    <x v="1"/>
    <x v="3"/>
    <x v="0"/>
    <n v="9.1999999999999993"/>
    <n v="0.1"/>
    <n v="4.5999999999999996"/>
    <n v="0.1"/>
    <n v="1.8"/>
    <x v="8"/>
    <x v="0"/>
    <n v="39596.11"/>
    <n v="0.6"/>
    <n v="3.95"/>
  </r>
  <r>
    <s v="PT0030170"/>
    <n v="39"/>
    <x v="1"/>
    <x v="8"/>
    <x v="0"/>
    <n v="0.6"/>
    <n v="4.8"/>
    <n v="0.2"/>
    <n v="7.6"/>
    <n v="3.5"/>
    <x v="6"/>
    <x v="2"/>
    <n v="21271.25"/>
    <n v="7.6"/>
    <n v="4.3099999999999996"/>
  </r>
  <r>
    <s v="PT0030656"/>
    <n v="49"/>
    <x v="1"/>
    <x v="4"/>
    <x v="0"/>
    <n v="3.6"/>
    <n v="5.3"/>
    <n v="1"/>
    <n v="9.1"/>
    <n v="6.7"/>
    <x v="0"/>
    <x v="2"/>
    <n v="47072.15"/>
    <n v="4.9000000000000004"/>
    <n v="4.5999999999999996"/>
  </r>
  <r>
    <s v="PT0030660"/>
    <n v="51"/>
    <x v="3"/>
    <x v="9"/>
    <x v="0"/>
    <n v="8.1"/>
    <n v="1"/>
    <n v="1.1000000000000001"/>
    <n v="8.8000000000000007"/>
    <n v="0.7"/>
    <x v="3"/>
    <x v="2"/>
    <n v="21961.19"/>
    <n v="5.7"/>
    <n v="5.33"/>
  </r>
  <r>
    <s v="PT0030694"/>
    <n v="63"/>
    <x v="1"/>
    <x v="1"/>
    <x v="0"/>
    <n v="6"/>
    <n v="1.9"/>
    <n v="1.1000000000000001"/>
    <n v="2.4"/>
    <n v="5.9"/>
    <x v="2"/>
    <x v="2"/>
    <n v="9353.94"/>
    <n v="2.7"/>
    <n v="4.53"/>
  </r>
  <r>
    <s v="PT0030981"/>
    <n v="65"/>
    <x v="3"/>
    <x v="2"/>
    <x v="0"/>
    <n v="3.9"/>
    <n v="4.7"/>
    <n v="3.3"/>
    <n v="8.5"/>
    <n v="8.3000000000000007"/>
    <x v="2"/>
    <x v="2"/>
    <n v="59824.33"/>
    <n v="5.6"/>
    <n v="5.31"/>
  </r>
  <r>
    <s v="PT0030994"/>
    <n v="54"/>
    <x v="3"/>
    <x v="9"/>
    <x v="0"/>
    <n v="9"/>
    <n v="2.5"/>
    <n v="1.1000000000000001"/>
    <n v="5.5"/>
    <n v="0.6"/>
    <x v="1"/>
    <x v="2"/>
    <n v="28222.73"/>
    <n v="6.2"/>
    <n v="4.9400000000000004"/>
  </r>
  <r>
    <s v="PT0031085"/>
    <n v="41"/>
    <x v="0"/>
    <x v="6"/>
    <x v="0"/>
    <n v="3.9"/>
    <n v="5.7"/>
    <n v="5.6"/>
    <n v="6.7"/>
    <n v="5.9"/>
    <x v="7"/>
    <x v="2"/>
    <n v="91406.47"/>
    <n v="3.9"/>
    <n v="4.58"/>
  </r>
  <r>
    <s v="PT0031419"/>
    <n v="85"/>
    <x v="2"/>
    <x v="1"/>
    <x v="0"/>
    <n v="4.8"/>
    <n v="4.8"/>
    <n v="2.9"/>
    <n v="6.1"/>
    <n v="2.1"/>
    <x v="2"/>
    <x v="2"/>
    <n v="43378.99"/>
    <n v="2.6"/>
    <n v="4.68"/>
  </r>
  <r>
    <s v="PT0031446"/>
    <n v="43"/>
    <x v="0"/>
    <x v="8"/>
    <x v="0"/>
    <n v="4.5999999999999996"/>
    <n v="2.9"/>
    <n v="6"/>
    <n v="5.3"/>
    <n v="8.3000000000000007"/>
    <x v="3"/>
    <x v="2"/>
    <n v="83131.34"/>
    <n v="6.4"/>
    <n v="4.4800000000000004"/>
  </r>
  <r>
    <s v="PT0031828"/>
    <n v="45"/>
    <x v="0"/>
    <x v="4"/>
    <x v="0"/>
    <n v="4"/>
    <n v="5.8"/>
    <n v="0.7"/>
    <n v="6.8"/>
    <n v="50.5"/>
    <x v="6"/>
    <x v="2"/>
    <n v="17832.32"/>
    <n v="1"/>
    <n v="4.9000000000000004"/>
  </r>
  <r>
    <s v="PT0031859"/>
    <n v="66"/>
    <x v="0"/>
    <x v="1"/>
    <x v="0"/>
    <n v="0.7"/>
    <n v="10"/>
    <n v="9.6999999999999993"/>
    <n v="0.6"/>
    <n v="3.1"/>
    <x v="8"/>
    <x v="2"/>
    <n v="73692.47"/>
    <n v="4.8"/>
    <n v="4.05"/>
  </r>
  <r>
    <s v="PT0031904"/>
    <n v="31"/>
    <x v="3"/>
    <x v="7"/>
    <x v="0"/>
    <n v="7.5"/>
    <n v="8"/>
    <n v="4.2"/>
    <n v="1.7"/>
    <n v="4"/>
    <x v="1"/>
    <x v="2"/>
    <n v="51554.93"/>
    <n v="8.6"/>
    <n v="5.04"/>
  </r>
  <r>
    <s v="PT0031928"/>
    <n v="84"/>
    <x v="1"/>
    <x v="9"/>
    <x v="0"/>
    <n v="0.3"/>
    <n v="6.3"/>
    <n v="2.8"/>
    <n v="0.6"/>
    <n v="4.7"/>
    <x v="1"/>
    <x v="0"/>
    <n v="91887.83"/>
    <n v="9"/>
    <n v="2.1800000000000002"/>
  </r>
  <r>
    <s v="PT0031951"/>
    <n v="27"/>
    <x v="3"/>
    <x v="0"/>
    <x v="0"/>
    <n v="2.4"/>
    <n v="7.1"/>
    <n v="3"/>
    <n v="9.6"/>
    <n v="4.0999999999999996"/>
    <x v="3"/>
    <x v="3"/>
    <n v="89145.52"/>
    <n v="4.9000000000000004"/>
    <n v="27.05"/>
  </r>
  <r>
    <s v="PT0032015"/>
    <n v="52"/>
    <x v="3"/>
    <x v="4"/>
    <x v="0"/>
    <n v="8.4"/>
    <n v="6.5"/>
    <n v="4.9272727272727268"/>
    <n v="0.1"/>
    <n v="2.7"/>
    <x v="2"/>
    <x v="2"/>
    <n v="75495.960000000006"/>
    <n v="6.6"/>
    <n v="4.2"/>
  </r>
  <r>
    <s v="PT0032065"/>
    <n v="40"/>
    <x v="0"/>
    <x v="0"/>
    <x v="0"/>
    <n v="2.2999999999999998"/>
    <n v="0.8"/>
    <n v="10"/>
    <n v="1.5"/>
    <n v="6.299999999999998"/>
    <x v="4"/>
    <x v="2"/>
    <n v="32580.31"/>
    <n v="3.2"/>
    <n v="4.2300000000000004"/>
  </r>
  <r>
    <s v="PT0032142"/>
    <n v="63"/>
    <x v="3"/>
    <x v="4"/>
    <x v="0"/>
    <n v="1.9"/>
    <n v="3.1"/>
    <n v="0.1"/>
    <n v="0.2"/>
    <n v="5.9"/>
    <x v="2"/>
    <x v="0"/>
    <n v="19221.93"/>
    <n v="9.1999999999999993"/>
    <n v="3.11"/>
  </r>
  <r>
    <s v="PT0032231"/>
    <n v="58"/>
    <x v="0"/>
    <x v="5"/>
    <x v="0"/>
    <n v="1.7"/>
    <n v="5"/>
    <n v="3.2"/>
    <n v="0.3"/>
    <n v="6.1"/>
    <x v="8"/>
    <x v="0"/>
    <n v="87999.42"/>
    <n v="5.9"/>
    <n v="2.0299999999999998"/>
  </r>
  <r>
    <s v="PT0032279"/>
    <n v="88"/>
    <x v="3"/>
    <x v="4"/>
    <x v="0"/>
    <n v="3.2"/>
    <n v="2"/>
    <n v="4.5"/>
    <n v="5.0999999999999996"/>
    <n v="9.9"/>
    <x v="1"/>
    <x v="2"/>
    <n v="50066.34"/>
    <n v="7.3"/>
    <n v="4.09"/>
  </r>
  <r>
    <s v="PT0032615"/>
    <n v="77"/>
    <x v="3"/>
    <x v="8"/>
    <x v="0"/>
    <n v="5.4308219178082213"/>
    <n v="1.6"/>
    <n v="5.3"/>
    <n v="8.9"/>
    <n v="0.7"/>
    <x v="5"/>
    <x v="2"/>
    <n v="53646.48"/>
    <n v="6.1"/>
    <n v="4.2300000000000004"/>
  </r>
  <r>
    <s v="PT0032913"/>
    <n v="75"/>
    <x v="3"/>
    <x v="1"/>
    <x v="0"/>
    <n v="6.4"/>
    <n v="0.6"/>
    <n v="4.0909090909090908"/>
    <n v="4.9000000000000004"/>
    <n v="6.299999999999998"/>
    <x v="3"/>
    <x v="1"/>
    <n v="8917.57"/>
    <n v="8.1"/>
    <n v="6.59"/>
  </r>
  <r>
    <s v="PT0033124"/>
    <n v="61"/>
    <x v="1"/>
    <x v="0"/>
    <x v="0"/>
    <n v="5.9555555555555557"/>
    <n v="1.2"/>
    <n v="3.8"/>
    <n v="1.3"/>
    <n v="9.8000000000000007"/>
    <x v="4"/>
    <x v="0"/>
    <n v="78171.55"/>
    <n v="9.3000000000000007"/>
    <n v="2.61"/>
  </r>
  <r>
    <s v="PT0033177"/>
    <n v="46"/>
    <x v="1"/>
    <x v="5"/>
    <x v="0"/>
    <n v="6.2"/>
    <n v="7.5"/>
    <n v="4"/>
    <n v="4.8361445783132542"/>
    <n v="5.5"/>
    <x v="5"/>
    <x v="1"/>
    <n v="15458.23"/>
    <n v="5.5"/>
    <n v="7.17"/>
  </r>
  <r>
    <s v="PT0033291"/>
    <n v="78"/>
    <x v="1"/>
    <x v="7"/>
    <x v="0"/>
    <n v="0.9"/>
    <n v="2.1"/>
    <n v="6.5"/>
    <n v="2.4"/>
    <n v="6.6"/>
    <x v="2"/>
    <x v="0"/>
    <n v="38343.64"/>
    <n v="7.3"/>
    <n v="3.84"/>
  </r>
  <r>
    <s v="PT0033354"/>
    <n v="23"/>
    <x v="1"/>
    <x v="0"/>
    <x v="0"/>
    <n v="7.8"/>
    <n v="9.6999999999999993"/>
    <n v="5.7"/>
    <n v="0.2"/>
    <n v="1.9"/>
    <x v="2"/>
    <x v="2"/>
    <n v="42615.3"/>
    <n v="6.5"/>
    <n v="4.8"/>
  </r>
  <r>
    <s v="PT0033461"/>
    <n v="40"/>
    <x v="1"/>
    <x v="9"/>
    <x v="0"/>
    <n v="4.6692307692307704"/>
    <n v="0.9"/>
    <n v="5"/>
    <n v="4.2"/>
    <n v="6.2"/>
    <x v="0"/>
    <x v="0"/>
    <n v="73781.94"/>
    <n v="8.4"/>
    <n v="2.99"/>
  </r>
  <r>
    <s v="PT0033464"/>
    <n v="79"/>
    <x v="1"/>
    <x v="5"/>
    <x v="0"/>
    <n v="4.2"/>
    <n v="2"/>
    <n v="4.7058823529411775"/>
    <n v="5.8062500000000004"/>
    <n v="2.5"/>
    <x v="1"/>
    <x v="2"/>
    <n v="23209.65"/>
    <n v="8.1999999999999993"/>
    <n v="4.6100000000000003"/>
  </r>
  <r>
    <s v="PT0033533"/>
    <n v="76"/>
    <x v="0"/>
    <x v="5"/>
    <x v="0"/>
    <n v="3.2"/>
    <n v="1.6"/>
    <n v="0.9"/>
    <n v="4.7"/>
    <n v="8.5"/>
    <x v="0"/>
    <x v="0"/>
    <n v="97028.74"/>
    <n v="6.2"/>
    <n v="2.86"/>
  </r>
  <r>
    <s v="PT0033579"/>
    <n v="38"/>
    <x v="0"/>
    <x v="9"/>
    <x v="0"/>
    <n v="5.7"/>
    <n v="7.5"/>
    <n v="7.9"/>
    <n v="5.8"/>
    <n v="7.8"/>
    <x v="1"/>
    <x v="1"/>
    <n v="48417.55"/>
    <n v="9.6"/>
    <n v="6.42"/>
  </r>
  <r>
    <s v="PT0033741"/>
    <n v="46"/>
    <x v="0"/>
    <x v="2"/>
    <x v="0"/>
    <n v="4.8457627118644062"/>
    <n v="5.6"/>
    <n v="1.5"/>
    <n v="3.2"/>
    <n v="7.7"/>
    <x v="3"/>
    <x v="0"/>
    <n v="96835.31"/>
    <n v="9.1999999999999993"/>
    <n v="2.6"/>
  </r>
  <r>
    <s v="PT0033774"/>
    <n v="74"/>
    <x v="3"/>
    <x v="3"/>
    <x v="0"/>
    <n v="2"/>
    <n v="3.9"/>
    <n v="8.8000000000000007"/>
    <n v="3.2"/>
    <n v="8.1999999999999993"/>
    <x v="4"/>
    <x v="2"/>
    <n v="16546.52"/>
    <n v="5.7"/>
    <n v="5.43"/>
  </r>
  <r>
    <s v="PT0034243"/>
    <n v="25"/>
    <x v="3"/>
    <x v="6"/>
    <x v="0"/>
    <n v="5.2"/>
    <n v="3.6"/>
    <n v="2.8"/>
    <n v="7.9"/>
    <n v="1.9"/>
    <x v="5"/>
    <x v="2"/>
    <n v="48798.45"/>
    <n v="0"/>
    <n v="4.79"/>
  </r>
  <r>
    <s v="PT0034360"/>
    <n v="84"/>
    <x v="1"/>
    <x v="5"/>
    <x v="0"/>
    <n v="0.2"/>
    <n v="7.2"/>
    <n v="0.6"/>
    <n v="8.1"/>
    <n v="0.1"/>
    <x v="7"/>
    <x v="0"/>
    <n v="79795.14"/>
    <n v="1.9"/>
    <n v="3.24"/>
  </r>
  <r>
    <s v="PT0034458"/>
    <n v="80"/>
    <x v="1"/>
    <x v="7"/>
    <x v="0"/>
    <n v="6.7"/>
    <n v="3.6"/>
    <n v="4.431481481481482"/>
    <n v="8.1999999999999993"/>
    <n v="2.2000000000000002"/>
    <x v="3"/>
    <x v="2"/>
    <n v="67866.820000000007"/>
    <n v="5.3"/>
    <n v="5.22"/>
  </r>
  <r>
    <s v="PT0034573"/>
    <n v="37"/>
    <x v="3"/>
    <x v="0"/>
    <x v="0"/>
    <n v="2.2000000000000002"/>
    <n v="8.3000000000000007"/>
    <n v="1.3"/>
    <n v="6.5"/>
    <n v="5.085"/>
    <x v="8"/>
    <x v="2"/>
    <n v="80760.990000000005"/>
    <n v="9.3000000000000007"/>
    <n v="4.42"/>
  </r>
  <r>
    <s v="PT0034862"/>
    <n v="77"/>
    <x v="1"/>
    <x v="0"/>
    <x v="0"/>
    <n v="5.5"/>
    <n v="1"/>
    <n v="1.9"/>
    <n v="9.1"/>
    <n v="6.9"/>
    <x v="7"/>
    <x v="2"/>
    <n v="61478.01"/>
    <n v="2.4"/>
    <n v="5.0599999999999996"/>
  </r>
  <r>
    <s v="PT0035173"/>
    <n v="57"/>
    <x v="0"/>
    <x v="6"/>
    <x v="0"/>
    <n v="5.8"/>
    <n v="9.5"/>
    <n v="5.4"/>
    <n v="1.3"/>
    <n v="7"/>
    <x v="0"/>
    <x v="2"/>
    <n v="63220.61"/>
    <n v="9.1999999999999993"/>
    <n v="5.09"/>
  </r>
  <r>
    <s v="PT0035569"/>
    <n v="66"/>
    <x v="0"/>
    <x v="8"/>
    <x v="0"/>
    <n v="1.2"/>
    <n v="1.8"/>
    <n v="8.1"/>
    <n v="9.6"/>
    <n v="3.5"/>
    <x v="8"/>
    <x v="2"/>
    <n v="12597.88"/>
    <n v="5.4"/>
    <n v="5.74"/>
  </r>
  <r>
    <s v="PT0035628"/>
    <n v="80"/>
    <x v="3"/>
    <x v="5"/>
    <x v="0"/>
    <n v="5"/>
    <n v="2.9"/>
    <n v="9.8000000000000007"/>
    <n v="0.7"/>
    <n v="2.8"/>
    <x v="0"/>
    <x v="2"/>
    <n v="51967.47"/>
    <n v="5.8"/>
    <n v="4.7"/>
  </r>
  <r>
    <s v="PT0035960"/>
    <n v="85"/>
    <x v="0"/>
    <x v="3"/>
    <x v="0"/>
    <n v="0.1"/>
    <n v="6.1"/>
    <n v="9"/>
    <n v="2.2000000000000002"/>
    <n v="5.3"/>
    <x v="0"/>
    <x v="2"/>
    <n v="37224.89"/>
    <n v="8.4"/>
    <n v="4.51"/>
  </r>
  <r>
    <s v="PT0036295"/>
    <n v="29"/>
    <x v="1"/>
    <x v="1"/>
    <x v="0"/>
    <n v="5.0999999999999996"/>
    <n v="5.2"/>
    <n v="4.7"/>
    <n v="8.6999999999999993"/>
    <n v="4.4000000000000004"/>
    <x v="4"/>
    <x v="2"/>
    <n v="70157.789999999994"/>
    <n v="5.5"/>
    <n v="5.73"/>
  </r>
  <r>
    <s v="PT0036307"/>
    <n v="73"/>
    <x v="2"/>
    <x v="3"/>
    <x v="0"/>
    <n v="5.5"/>
    <n v="5"/>
    <n v="0.8"/>
    <n v="3"/>
    <n v="1.6"/>
    <x v="5"/>
    <x v="0"/>
    <n v="39764.6"/>
    <n v="7.4"/>
    <n v="3.87"/>
  </r>
  <r>
    <s v="PT0036540"/>
    <n v="68"/>
    <x v="0"/>
    <x v="2"/>
    <x v="0"/>
    <n v="3.8"/>
    <n v="3.8"/>
    <n v="2.5"/>
    <n v="2.6"/>
    <n v="8"/>
    <x v="6"/>
    <x v="0"/>
    <n v="81633.509999999995"/>
    <n v="2.2999999999999998"/>
    <n v="3.39"/>
  </r>
  <r>
    <s v="PT0036607"/>
    <n v="38"/>
    <x v="0"/>
    <x v="5"/>
    <x v="0"/>
    <n v="5.5"/>
    <n v="9.4"/>
    <n v="5.9"/>
    <n v="4.3"/>
    <n v="1.2"/>
    <x v="1"/>
    <x v="2"/>
    <n v="68562.25"/>
    <n v="5"/>
    <n v="5"/>
  </r>
  <r>
    <s v="PT0036715"/>
    <n v="28"/>
    <x v="3"/>
    <x v="9"/>
    <x v="0"/>
    <n v="0.8"/>
    <n v="7.6"/>
    <n v="4.9000000000000004"/>
    <n v="1.8"/>
    <n v="10"/>
    <x v="0"/>
    <x v="2"/>
    <n v="6949.16"/>
    <n v="8.4"/>
    <n v="5.26"/>
  </r>
  <r>
    <s v="PT0037079"/>
    <n v="62"/>
    <x v="1"/>
    <x v="4"/>
    <x v="0"/>
    <n v="7.6"/>
    <n v="5.5"/>
    <n v="1.7"/>
    <n v="3.7"/>
    <n v="8.1"/>
    <x v="3"/>
    <x v="2"/>
    <n v="85829.23"/>
    <n v="9.4"/>
    <n v="4.43"/>
  </r>
  <r>
    <s v="PT0037096"/>
    <n v="39"/>
    <x v="0"/>
    <x v="9"/>
    <x v="0"/>
    <n v="100"/>
    <n v="5.4"/>
    <n v="5"/>
    <n v="5.5"/>
    <n v="9.1999999999999993"/>
    <x v="8"/>
    <x v="1"/>
    <n v="50345.29"/>
    <n v="5"/>
    <n v="6.45"/>
  </r>
  <r>
    <s v="PT0037161"/>
    <n v="83"/>
    <x v="0"/>
    <x v="7"/>
    <x v="0"/>
    <n v="6.9"/>
    <n v="3"/>
    <n v="5.9"/>
    <n v="9.5"/>
    <n v="0"/>
    <x v="3"/>
    <x v="1"/>
    <n v="7482.54"/>
    <n v="4.4000000000000004"/>
    <n v="6.47"/>
  </r>
  <r>
    <s v="PT0037201"/>
    <n v="75"/>
    <x v="1"/>
    <x v="6"/>
    <x v="0"/>
    <n v="5.2"/>
    <n v="9.1999999999999993"/>
    <n v="9.5"/>
    <n v="9.5"/>
    <n v="5.6"/>
    <x v="4"/>
    <x v="1"/>
    <n v="85189.4"/>
    <n v="8.5"/>
    <n v="6.6"/>
  </r>
  <r>
    <s v="PT0037502"/>
    <n v="72"/>
    <x v="3"/>
    <x v="8"/>
    <x v="0"/>
    <n v="8.6"/>
    <n v="4.9000000000000004"/>
    <n v="3.9"/>
    <n v="1.7"/>
    <n v="9.5"/>
    <x v="4"/>
    <x v="2"/>
    <n v="89919.82"/>
    <n v="9.1999999999999993"/>
    <n v="4.53"/>
  </r>
  <r>
    <s v="PT0037663"/>
    <n v="50"/>
    <x v="0"/>
    <x v="0"/>
    <x v="0"/>
    <n v="6.1"/>
    <n v="0.9"/>
    <n v="0.1"/>
    <n v="6.7"/>
    <n v="1.8"/>
    <x v="3"/>
    <x v="2"/>
    <n v="24584.04"/>
    <n v="2.6"/>
    <n v="4.4000000000000004"/>
  </r>
  <r>
    <s v="PT0037845"/>
    <n v="23"/>
    <x v="1"/>
    <x v="5"/>
    <x v="0"/>
    <n v="4.8"/>
    <n v="5.3"/>
    <n v="9.8000000000000007"/>
    <n v="4.9064814814814826"/>
    <n v="7.8"/>
    <x v="7"/>
    <x v="2"/>
    <n v="75326.38"/>
    <n v="9.9"/>
    <n v="4.8600000000000003"/>
  </r>
  <r>
    <s v="PT0037987"/>
    <n v="67"/>
    <x v="3"/>
    <x v="4"/>
    <x v="0"/>
    <n v="9.1999999999999993"/>
    <n v="6.8"/>
    <n v="8.4"/>
    <n v="8.4"/>
    <n v="7.6"/>
    <x v="4"/>
    <x v="1"/>
    <n v="71716.990000000005"/>
    <n v="2.7"/>
    <n v="7.13"/>
  </r>
  <r>
    <s v="PT0038222"/>
    <n v="79"/>
    <x v="1"/>
    <x v="0"/>
    <x v="0"/>
    <n v="2.4"/>
    <n v="0.7"/>
    <n v="7.6"/>
    <n v="1.3"/>
    <n v="1.2"/>
    <x v="1"/>
    <x v="0"/>
    <n v="95007.58"/>
    <n v="9.1"/>
    <n v="2.2000000000000002"/>
  </r>
  <r>
    <s v="PT0038517"/>
    <n v="27"/>
    <x v="3"/>
    <x v="3"/>
    <x v="0"/>
    <n v="1.6"/>
    <n v="7.2"/>
    <n v="9"/>
    <n v="3.4"/>
    <n v="6.1"/>
    <x v="3"/>
    <x v="2"/>
    <n v="83724.320000000007"/>
    <n v="3.3"/>
    <n v="4.37"/>
  </r>
  <r>
    <s v="PT0038581"/>
    <n v="84"/>
    <x v="3"/>
    <x v="2"/>
    <x v="0"/>
    <n v="10"/>
    <n v="8.6999999999999993"/>
    <n v="4.5"/>
    <n v="0.7"/>
    <n v="9.8000000000000007"/>
    <x v="1"/>
    <x v="1"/>
    <n v="21725.51"/>
    <n v="8.1999999999999993"/>
    <n v="6.67"/>
  </r>
  <r>
    <s v="PT0038743"/>
    <n v="55"/>
    <x v="1"/>
    <x v="4"/>
    <x v="0"/>
    <n v="3.9"/>
    <n v="0.6"/>
    <n v="8.6"/>
    <n v="2.2000000000000002"/>
    <n v="6.8"/>
    <x v="7"/>
    <x v="2"/>
    <n v="7418.51"/>
    <n v="1.3"/>
    <n v="5.13"/>
  </r>
  <r>
    <s v="PT0038744"/>
    <n v="44"/>
    <x v="1"/>
    <x v="6"/>
    <x v="0"/>
    <n v="6.8"/>
    <n v="5.8"/>
    <n v="1.5"/>
    <n v="4.6224852071005911"/>
    <n v="6.3"/>
    <x v="5"/>
    <x v="2"/>
    <n v="25754.37"/>
    <n v="7.6"/>
    <n v="5.29"/>
  </r>
  <r>
    <s v="PT0038849"/>
    <n v="49"/>
    <x v="1"/>
    <x v="0"/>
    <x v="0"/>
    <n v="7.6"/>
    <n v="3.2"/>
    <n v="4.8141509433962257"/>
    <n v="5.2"/>
    <n v="7.4"/>
    <x v="2"/>
    <x v="2"/>
    <n v="57969.27"/>
    <n v="9.1"/>
    <n v="5.04"/>
  </r>
  <r>
    <s v="PT0038948"/>
    <n v="69"/>
    <x v="1"/>
    <x v="9"/>
    <x v="0"/>
    <n v="3.7"/>
    <n v="6.4"/>
    <n v="4.7"/>
    <n v="2.8"/>
    <n v="5.3337748344370883"/>
    <x v="4"/>
    <x v="0"/>
    <n v="62850.49"/>
    <n v="5.5"/>
    <n v="3.8"/>
  </r>
  <r>
    <s v="PT0039348"/>
    <n v="23"/>
    <x v="3"/>
    <x v="4"/>
    <x v="0"/>
    <n v="5"/>
    <n v="0.7"/>
    <n v="9"/>
    <n v="6.2"/>
    <n v="4"/>
    <x v="6"/>
    <x v="2"/>
    <n v="78871.960000000006"/>
    <n v="9.8000000000000007"/>
    <n v="4.5199999999999996"/>
  </r>
  <r>
    <s v="PT0039352"/>
    <n v="77"/>
    <x v="0"/>
    <x v="6"/>
    <x v="0"/>
    <n v="9.4"/>
    <n v="3.3"/>
    <n v="7.1"/>
    <n v="8.3000000000000007"/>
    <n v="7.7"/>
    <x v="0"/>
    <x v="2"/>
    <n v="98791.92"/>
    <n v="9.9"/>
    <n v="5.89"/>
  </r>
  <r>
    <s v="PT0039857"/>
    <n v="72"/>
    <x v="1"/>
    <x v="5"/>
    <x v="0"/>
    <n v="8.8000000000000007"/>
    <n v="1.9"/>
    <n v="4.8733766233766218"/>
    <n v="2.4"/>
    <n v="4.0999999999999996"/>
    <x v="3"/>
    <x v="2"/>
    <n v="66534.52"/>
    <n v="8.1999999999999993"/>
    <n v="4.6100000000000003"/>
  </r>
  <r>
    <s v="PT0040003"/>
    <n v="49"/>
    <x v="3"/>
    <x v="3"/>
    <x v="0"/>
    <n v="7.6"/>
    <n v="3.5"/>
    <n v="1.6"/>
    <n v="9.5"/>
    <n v="2.6"/>
    <x v="8"/>
    <x v="2"/>
    <n v="92497.73"/>
    <n v="2.1"/>
    <n v="4.5999999999999996"/>
  </r>
  <r>
    <s v="PT0040043"/>
    <n v="86"/>
    <x v="3"/>
    <x v="7"/>
    <x v="0"/>
    <n v="5.5"/>
    <n v="2.2000000000000002"/>
    <n v="5.2"/>
    <n v="8.4"/>
    <n v="0.1"/>
    <x v="4"/>
    <x v="2"/>
    <n v="82523.55"/>
    <n v="0.6"/>
    <n v="4.25"/>
  </r>
  <r>
    <s v="PT0040358"/>
    <n v="55"/>
    <x v="3"/>
    <x v="2"/>
    <x v="0"/>
    <n v="4.9000000000000004"/>
    <n v="5"/>
    <n v="2.2999999999999998"/>
    <n v="8.5"/>
    <n v="6.8"/>
    <x v="8"/>
    <x v="2"/>
    <n v="36889.919999999998"/>
    <n v="1.4"/>
    <n v="5.97"/>
  </r>
  <r>
    <s v="PT0040375"/>
    <n v="85"/>
    <x v="3"/>
    <x v="5"/>
    <x v="0"/>
    <n v="6.7"/>
    <n v="7.7"/>
    <n v="10"/>
    <n v="5.3"/>
    <n v="5.4"/>
    <x v="0"/>
    <x v="1"/>
    <n v="22083.71"/>
    <n v="4.2"/>
    <n v="7.15"/>
  </r>
  <r>
    <s v="PT0040571"/>
    <n v="34"/>
    <x v="0"/>
    <x v="4"/>
    <x v="0"/>
    <n v="1.3"/>
    <n v="7.8"/>
    <n v="9.5"/>
    <n v="0.7"/>
    <n v="5.2"/>
    <x v="7"/>
    <x v="2"/>
    <n v="53284.52"/>
    <n v="4.0999999999999996"/>
    <n v="4.45"/>
  </r>
  <r>
    <s v="PT0040629"/>
    <n v="42"/>
    <x v="0"/>
    <x v="2"/>
    <x v="0"/>
    <n v="3.4"/>
    <n v="2.2999999999999998"/>
    <n v="4.1179487179487184"/>
    <n v="1.5"/>
    <n v="5.5"/>
    <x v="1"/>
    <x v="2"/>
    <n v="33371.19"/>
    <n v="9.6999999999999993"/>
    <n v="4.2"/>
  </r>
  <r>
    <s v="PT0041792"/>
    <n v="66"/>
    <x v="3"/>
    <x v="9"/>
    <x v="0"/>
    <n v="0.9"/>
    <n v="0.9"/>
    <n v="7.1"/>
    <n v="4.3"/>
    <n v="5.5"/>
    <x v="6"/>
    <x v="2"/>
    <n v="33999.69"/>
    <n v="2.4"/>
    <n v="4.1100000000000003"/>
  </r>
  <r>
    <s v="PT0041992"/>
    <n v="42"/>
    <x v="0"/>
    <x v="8"/>
    <x v="0"/>
    <n v="7.9"/>
    <n v="5"/>
    <n v="8.4"/>
    <n v="7"/>
    <n v="0.6"/>
    <x v="2"/>
    <x v="1"/>
    <n v="12334.48"/>
    <n v="1.2"/>
    <n v="7.51"/>
  </r>
  <r>
    <s v="PT0042475"/>
    <n v="58"/>
    <x v="0"/>
    <x v="8"/>
    <x v="0"/>
    <n v="3.2"/>
    <n v="7.3"/>
    <n v="2.9"/>
    <n v="6"/>
    <n v="0.1"/>
    <x v="2"/>
    <x v="0"/>
    <n v="96272.639999999999"/>
    <n v="0.8"/>
    <n v="3.45"/>
  </r>
  <r>
    <s v="PT0043065"/>
    <n v="30"/>
    <x v="3"/>
    <x v="0"/>
    <x v="0"/>
    <n v="7.3"/>
    <n v="6.8"/>
    <n v="8.9"/>
    <n v="4.7"/>
    <n v="6.7"/>
    <x v="8"/>
    <x v="1"/>
    <n v="39805.56"/>
    <n v="6.8"/>
    <n v="6.63"/>
  </r>
  <r>
    <s v="PT0043170"/>
    <n v="23"/>
    <x v="3"/>
    <x v="8"/>
    <x v="0"/>
    <n v="4.8353535353535344"/>
    <n v="5.4"/>
    <n v="1.8"/>
    <n v="5.7"/>
    <n v="0.2"/>
    <x v="5"/>
    <x v="2"/>
    <n v="20479.61"/>
    <n v="2"/>
    <n v="5.63"/>
  </r>
  <r>
    <s v="PT0043224"/>
    <n v="76"/>
    <x v="3"/>
    <x v="4"/>
    <x v="0"/>
    <n v="12.707142857142857"/>
    <n v="1"/>
    <n v="0.1"/>
    <n v="5.361538461538462"/>
    <n v="4"/>
    <x v="6"/>
    <x v="0"/>
    <n v="75729.5"/>
    <n v="6.8"/>
    <n v="3.33"/>
  </r>
  <r>
    <s v="PT0043399"/>
    <n v="80"/>
    <x v="0"/>
    <x v="1"/>
    <x v="0"/>
    <n v="8.9"/>
    <n v="5.0999999999999996"/>
    <n v="8.1999999999999993"/>
    <n v="8.6"/>
    <n v="5.8"/>
    <x v="7"/>
    <x v="3"/>
    <n v="39147.26"/>
    <n v="6.7"/>
    <n v="37.15"/>
  </r>
  <r>
    <s v="PT0043987"/>
    <n v="29"/>
    <x v="1"/>
    <x v="4"/>
    <x v="0"/>
    <n v="2"/>
    <n v="0.7"/>
    <n v="0.5"/>
    <n v="0.5"/>
    <n v="9.8000000000000007"/>
    <x v="6"/>
    <x v="0"/>
    <n v="29872.06"/>
    <n v="1.5"/>
    <n v="3.06"/>
  </r>
  <r>
    <s v="PT0043990"/>
    <n v="37"/>
    <x v="0"/>
    <x v="9"/>
    <x v="0"/>
    <n v="2.6"/>
    <n v="5.0999999999999996"/>
    <n v="9.5"/>
    <n v="3.5"/>
    <n v="9.6"/>
    <x v="2"/>
    <x v="2"/>
    <n v="86717.52"/>
    <n v="5.8"/>
    <n v="4.6399999999999997"/>
  </r>
  <r>
    <s v="PT0044064"/>
    <n v="49"/>
    <x v="1"/>
    <x v="6"/>
    <x v="0"/>
    <n v="4"/>
    <n v="4.2"/>
    <n v="0.1"/>
    <n v="4.8"/>
    <n v="0.4"/>
    <x v="3"/>
    <x v="0"/>
    <n v="91331.28"/>
    <n v="2.2999999999999998"/>
    <n v="2.62"/>
  </r>
  <r>
    <s v="PT0044161"/>
    <n v="47"/>
    <x v="0"/>
    <x v="2"/>
    <x v="0"/>
    <n v="4.9000000000000004"/>
    <n v="1.8"/>
    <n v="4.0999999999999996"/>
    <n v="2.2999999999999998"/>
    <n v="4.5999999999999996"/>
    <x v="4"/>
    <x v="2"/>
    <n v="23641.55"/>
    <n v="3.4"/>
    <n v="4.3099999999999996"/>
  </r>
  <r>
    <s v="PT0045009"/>
    <n v="77"/>
    <x v="3"/>
    <x v="4"/>
    <x v="0"/>
    <n v="9.9"/>
    <n v="4.9000000000000004"/>
    <n v="5.2"/>
    <n v="1.1000000000000001"/>
    <n v="9.6"/>
    <x v="4"/>
    <x v="2"/>
    <n v="49753.31"/>
    <n v="2.2999999999999998"/>
    <n v="5.68"/>
  </r>
  <r>
    <s v="PT0045437"/>
    <n v="58"/>
    <x v="0"/>
    <x v="5"/>
    <x v="0"/>
    <n v="5.2"/>
    <n v="3"/>
    <n v="2.8"/>
    <n v="0.5"/>
    <n v="6.1"/>
    <x v="6"/>
    <x v="0"/>
    <n v="75295.27"/>
    <n v="3.6"/>
    <n v="3.11"/>
  </r>
  <r>
    <s v="PT0045635"/>
    <n v="46"/>
    <x v="3"/>
    <x v="1"/>
    <x v="0"/>
    <n v="6.3"/>
    <n v="0.3"/>
    <n v="4.2"/>
    <n v="7.9"/>
    <n v="8.3000000000000007"/>
    <x v="2"/>
    <x v="2"/>
    <n v="60523.31"/>
    <n v="0.1"/>
    <n v="5.13"/>
  </r>
  <r>
    <s v="PT0047176"/>
    <n v="48"/>
    <x v="1"/>
    <x v="8"/>
    <x v="0"/>
    <n v="1.3"/>
    <n v="0.7"/>
    <n v="9.3000000000000007"/>
    <n v="9.5"/>
    <n v="5"/>
    <x v="1"/>
    <x v="2"/>
    <n v="15466.94"/>
    <n v="1.3"/>
    <n v="5.85"/>
  </r>
  <r>
    <s v="PT0048155"/>
    <n v="41"/>
    <x v="3"/>
    <x v="1"/>
    <x v="0"/>
    <n v="2.9"/>
    <n v="0"/>
    <n v="2.2999999999999998"/>
    <n v="3.9"/>
    <n v="10"/>
    <x v="8"/>
    <x v="0"/>
    <n v="54800.22"/>
    <n v="5.5"/>
    <n v="3.61"/>
  </r>
  <r>
    <s v="PT0048428"/>
    <n v="89"/>
    <x v="2"/>
    <x v="9"/>
    <x v="0"/>
    <n v="3.2"/>
    <n v="6.3"/>
    <n v="4.7"/>
    <n v="5.0999999999999996"/>
    <n v="8.1999999999999993"/>
    <x v="7"/>
    <x v="2"/>
    <n v="94633.12"/>
    <n v="5.2"/>
    <n v="4.24"/>
  </r>
  <r>
    <s v="PT0049770"/>
    <n v="67"/>
    <x v="1"/>
    <x v="0"/>
    <x v="0"/>
    <n v="1.6"/>
    <n v="5.6"/>
    <n v="4.7"/>
    <n v="3.3"/>
    <n v="4.9000000000000004"/>
    <x v="1"/>
    <x v="0"/>
    <n v="93848.98"/>
    <n v="7.2"/>
    <n v="3.14"/>
  </r>
  <r>
    <s v="PT0006143"/>
    <n v="70"/>
    <x v="0"/>
    <x v="1"/>
    <x v="1"/>
    <n v="1.6"/>
    <n v="2"/>
    <n v="4.3"/>
    <n v="5"/>
    <n v="0.8"/>
    <x v="3"/>
    <x v="2"/>
    <n v="16273.05"/>
    <n v="1.5"/>
    <n v="4.0199999999999996"/>
  </r>
  <r>
    <s v="PT0008770"/>
    <n v="73"/>
    <x v="3"/>
    <x v="4"/>
    <x v="1"/>
    <n v="8.5"/>
    <n v="5.7"/>
    <n v="0.6"/>
    <n v="4.3"/>
    <n v="2.9"/>
    <x v="8"/>
    <x v="2"/>
    <n v="60883.56"/>
    <n v="10"/>
    <n v="4.58"/>
  </r>
  <r>
    <s v="PT0009237"/>
    <n v="33"/>
    <x v="1"/>
    <x v="3"/>
    <x v="1"/>
    <n v="7.7"/>
    <n v="4.5"/>
    <n v="2.4"/>
    <n v="2.2999999999999998"/>
    <n v="5.2"/>
    <x v="6"/>
    <x v="2"/>
    <n v="43439"/>
    <n v="4.0999999999999996"/>
    <n v="4.6900000000000004"/>
  </r>
  <r>
    <s v="PT0010331"/>
    <n v="35"/>
    <x v="2"/>
    <x v="4"/>
    <x v="1"/>
    <n v="3.3"/>
    <n v="6.1"/>
    <n v="0.8"/>
    <n v="0.4"/>
    <n v="9.8000000000000007"/>
    <x v="5"/>
    <x v="2"/>
    <n v="15035.87"/>
    <n v="4.2"/>
    <n v="4.45"/>
  </r>
  <r>
    <s v="PT0010560"/>
    <n v="22"/>
    <x v="0"/>
    <x v="9"/>
    <x v="1"/>
    <n v="4.2"/>
    <n v="0.1"/>
    <n v="6.9"/>
    <n v="7.9"/>
    <n v="0.9"/>
    <x v="5"/>
    <x v="2"/>
    <n v="66182.17"/>
    <n v="9"/>
    <n v="4.24"/>
  </r>
  <r>
    <s v="PT0010634"/>
    <n v="54"/>
    <x v="2"/>
    <x v="6"/>
    <x v="1"/>
    <n v="3.5"/>
    <n v="5.2"/>
    <n v="9.5"/>
    <n v="5.2"/>
    <n v="9.1"/>
    <x v="5"/>
    <x v="2"/>
    <n v="98864.58"/>
    <n v="7.4"/>
    <n v="4.88"/>
  </r>
  <r>
    <s v="PT0010867"/>
    <n v="41"/>
    <x v="2"/>
    <x v="5"/>
    <x v="1"/>
    <n v="0.7"/>
    <n v="4.4000000000000004"/>
    <n v="7.1"/>
    <n v="2"/>
    <n v="2.6"/>
    <x v="2"/>
    <x v="0"/>
    <n v="60800.41"/>
    <n v="9.6999999999999993"/>
    <n v="3.31"/>
  </r>
  <r>
    <s v="PT0011527"/>
    <n v="59"/>
    <x v="0"/>
    <x v="9"/>
    <x v="1"/>
    <n v="1.7"/>
    <n v="5.3"/>
    <n v="3.9"/>
    <n v="3"/>
    <n v="5.2"/>
    <x v="2"/>
    <x v="0"/>
    <n v="69969.009999999995"/>
    <n v="4.5999999999999996"/>
    <n v="3.44"/>
  </r>
  <r>
    <s v="PT0011794"/>
    <n v="24"/>
    <x v="3"/>
    <x v="2"/>
    <x v="1"/>
    <n v="6.6"/>
    <n v="2"/>
    <n v="5.8"/>
    <n v="5.3"/>
    <n v="0.6"/>
    <x v="0"/>
    <x v="2"/>
    <n v="41115.230000000003"/>
    <n v="4.3"/>
    <n v="4.79"/>
  </r>
  <r>
    <s v="PT0012142"/>
    <n v="99"/>
    <x v="2"/>
    <x v="9"/>
    <x v="1"/>
    <n v="6.3755102040816318"/>
    <n v="3.8"/>
    <n v="6.1"/>
    <n v="1.6"/>
    <n v="9.1999999999999993"/>
    <x v="2"/>
    <x v="2"/>
    <n v="36235.599999999999"/>
    <n v="3.7"/>
    <n v="5.68"/>
  </r>
  <r>
    <s v="PT0012152"/>
    <n v="70"/>
    <x v="1"/>
    <x v="6"/>
    <x v="1"/>
    <n v="8.8000000000000007"/>
    <n v="7"/>
    <n v="2.9"/>
    <n v="4.9000000000000004"/>
    <n v="6.4"/>
    <x v="1"/>
    <x v="1"/>
    <n v="12930.13"/>
    <n v="6"/>
    <n v="6.61"/>
  </r>
  <r>
    <s v="PT0012620"/>
    <n v="73"/>
    <x v="2"/>
    <x v="3"/>
    <x v="1"/>
    <n v="0.1"/>
    <n v="3.6"/>
    <n v="6.9"/>
    <n v="0.3"/>
    <n v="6.5"/>
    <x v="5"/>
    <x v="0"/>
    <n v="48818.27"/>
    <n v="7.5"/>
    <n v="3.26"/>
  </r>
  <r>
    <s v="PT0012679"/>
    <n v="69"/>
    <x v="2"/>
    <x v="1"/>
    <x v="1"/>
    <n v="5.8"/>
    <n v="6.1"/>
    <n v="4.7274853801169572"/>
    <n v="5"/>
    <n v="4.2165680473372786"/>
    <x v="3"/>
    <x v="3"/>
    <n v="81317.070000000007"/>
    <n v="1.5"/>
    <n v="27.26"/>
  </r>
  <r>
    <s v="PT0012695"/>
    <n v="58"/>
    <x v="3"/>
    <x v="7"/>
    <x v="1"/>
    <n v="1.6"/>
    <n v="3.3"/>
    <n v="8.8000000000000007"/>
    <n v="1.6"/>
    <n v="9.1999999999999993"/>
    <x v="7"/>
    <x v="2"/>
    <n v="20810.36"/>
    <n v="6"/>
    <n v="4.96"/>
  </r>
  <r>
    <s v="PT0012696"/>
    <n v="22"/>
    <x v="1"/>
    <x v="1"/>
    <x v="1"/>
    <n v="9.3000000000000007"/>
    <n v="8.8000000000000007"/>
    <n v="0.5"/>
    <n v="7.5"/>
    <n v="8.1"/>
    <x v="8"/>
    <x v="1"/>
    <n v="56425.05"/>
    <n v="6.3"/>
    <n v="6.44"/>
  </r>
  <r>
    <s v="PT0012760"/>
    <n v="58"/>
    <x v="3"/>
    <x v="9"/>
    <x v="1"/>
    <n v="8.6999999999999993"/>
    <n v="0.1"/>
    <n v="5.3"/>
    <n v="4.4000000000000004"/>
    <n v="1.9"/>
    <x v="6"/>
    <x v="2"/>
    <n v="59322.8"/>
    <n v="4.3"/>
    <n v="4.43"/>
  </r>
  <r>
    <s v="PT0012824"/>
    <n v="81"/>
    <x v="1"/>
    <x v="3"/>
    <x v="1"/>
    <n v="6.3"/>
    <n v="2.1"/>
    <n v="4.8"/>
    <n v="4.9000000000000004"/>
    <n v="1.5"/>
    <x v="3"/>
    <x v="2"/>
    <n v="9997.67"/>
    <n v="4.5999999999999996"/>
    <n v="5.23"/>
  </r>
  <r>
    <s v="PT0012954"/>
    <n v="57"/>
    <x v="1"/>
    <x v="9"/>
    <x v="1"/>
    <n v="8.9"/>
    <n v="9.6"/>
    <n v="5.3"/>
    <n v="0.4"/>
    <n v="5.6"/>
    <x v="0"/>
    <x v="1"/>
    <n v="22291.919999999998"/>
    <n v="6.8"/>
    <n v="6.21"/>
  </r>
  <r>
    <s v="PT0012968"/>
    <n v="85"/>
    <x v="2"/>
    <x v="7"/>
    <x v="1"/>
    <n v="3.7"/>
    <n v="9.4"/>
    <n v="1.6"/>
    <n v="8.1"/>
    <n v="0.8"/>
    <x v="5"/>
    <x v="2"/>
    <n v="52182.28"/>
    <n v="1.7"/>
    <n v="4.7699999999999996"/>
  </r>
  <r>
    <s v="PT0013236"/>
    <n v="86"/>
    <x v="0"/>
    <x v="0"/>
    <x v="1"/>
    <n v="8.3000000000000007"/>
    <n v="6.3"/>
    <n v="8.5"/>
    <n v="2.6"/>
    <n v="99"/>
    <x v="1"/>
    <x v="2"/>
    <n v="47573.39"/>
    <n v="3"/>
    <n v="5.64"/>
  </r>
  <r>
    <s v="PT0013341"/>
    <n v="29"/>
    <x v="1"/>
    <x v="3"/>
    <x v="1"/>
    <n v="4"/>
    <n v="0.6"/>
    <n v="8.8000000000000007"/>
    <n v="7.1"/>
    <n v="0.8"/>
    <x v="1"/>
    <x v="2"/>
    <n v="26393.439999999999"/>
    <n v="4.0999999999999996"/>
    <n v="5.18"/>
  </r>
  <r>
    <s v="PT0013409"/>
    <n v="64"/>
    <x v="0"/>
    <x v="8"/>
    <x v="1"/>
    <n v="2.2000000000000002"/>
    <n v="0.5"/>
    <n v="0.4"/>
    <n v="7.7"/>
    <n v="1.7"/>
    <x v="1"/>
    <x v="2"/>
    <n v="13901.15"/>
    <n v="4.9000000000000004"/>
    <n v="4.01"/>
  </r>
  <r>
    <s v="PT0013569"/>
    <n v="30"/>
    <x v="3"/>
    <x v="0"/>
    <x v="1"/>
    <n v="3.6"/>
    <n v="7.9"/>
    <n v="7.2"/>
    <n v="4.7"/>
    <n v="7.5"/>
    <x v="6"/>
    <x v="2"/>
    <n v="71512.58"/>
    <n v="6.9"/>
    <n v="5.24"/>
  </r>
  <r>
    <s v="PT0013867"/>
    <n v="71"/>
    <x v="3"/>
    <x v="5"/>
    <x v="1"/>
    <n v="7.5"/>
    <n v="2"/>
    <n v="2.7"/>
    <n v="2"/>
    <n v="8.4"/>
    <x v="1"/>
    <x v="0"/>
    <n v="50054.14"/>
    <n v="5.5"/>
    <n v="3.79"/>
  </r>
  <r>
    <s v="PT0013880"/>
    <n v="28"/>
    <x v="1"/>
    <x v="2"/>
    <x v="1"/>
    <n v="3.6"/>
    <n v="5.6"/>
    <n v="5.8"/>
    <n v="6.1"/>
    <n v="8.9"/>
    <x v="2"/>
    <x v="2"/>
    <n v="63100.02"/>
    <n v="9.1"/>
    <n v="5.28"/>
  </r>
  <r>
    <s v="PT0013909"/>
    <n v="51"/>
    <x v="0"/>
    <x v="6"/>
    <x v="1"/>
    <n v="4.8"/>
    <n v="7.3"/>
    <n v="5"/>
    <n v="1.8"/>
    <n v="7.4"/>
    <x v="8"/>
    <x v="2"/>
    <n v="27043.91"/>
    <n v="9.4"/>
    <n v="5.36"/>
  </r>
  <r>
    <s v="PT0014045"/>
    <n v="41"/>
    <x v="3"/>
    <x v="9"/>
    <x v="1"/>
    <n v="5.3"/>
    <n v="0.5"/>
    <n v="3.5"/>
    <n v="0"/>
    <n v="1.2"/>
    <x v="5"/>
    <x v="0"/>
    <n v="16485.2"/>
    <n v="4.7"/>
    <n v="3.45"/>
  </r>
  <r>
    <s v="PT0014359"/>
    <n v="58"/>
    <x v="3"/>
    <x v="6"/>
    <x v="1"/>
    <n v="2.9"/>
    <n v="7.5"/>
    <n v="5.7"/>
    <n v="4.2"/>
    <n v="1.8"/>
    <x v="8"/>
    <x v="2"/>
    <n v="18138.22"/>
    <n v="0.4"/>
    <n v="5.22"/>
  </r>
  <r>
    <s v="PT0014732"/>
    <n v="36"/>
    <x v="0"/>
    <x v="3"/>
    <x v="1"/>
    <n v="9.6999999999999993"/>
    <n v="7.8"/>
    <n v="2.7"/>
    <n v="5.3"/>
    <n v="3"/>
    <x v="7"/>
    <x v="1"/>
    <n v="26926.13"/>
    <n v="9.1999999999999993"/>
    <n v="6.34"/>
  </r>
  <r>
    <s v="PT0014852"/>
    <n v="51"/>
    <x v="3"/>
    <x v="8"/>
    <x v="1"/>
    <n v="3.6"/>
    <n v="9.8000000000000007"/>
    <n v="5.7"/>
    <n v="4.0999999999999996"/>
    <n v="4.8"/>
    <x v="4"/>
    <x v="2"/>
    <n v="72180.2"/>
    <n v="5.5"/>
    <n v="4.9000000000000004"/>
  </r>
  <r>
    <s v="PT0015015"/>
    <n v="56"/>
    <x v="0"/>
    <x v="8"/>
    <x v="1"/>
    <n v="6.1"/>
    <n v="1.6"/>
    <n v="0.5"/>
    <n v="7.2"/>
    <n v="9.1999999999999993"/>
    <x v="5"/>
    <x v="1"/>
    <n v="8103.6"/>
    <n v="4.0999999999999996"/>
    <n v="6.47"/>
  </r>
  <r>
    <s v="PT0015186"/>
    <n v="73"/>
    <x v="3"/>
    <x v="1"/>
    <x v="1"/>
    <n v="4.0999999999999996"/>
    <n v="6.9"/>
    <n v="9.8000000000000007"/>
    <n v="0.3"/>
    <n v="3.5"/>
    <x v="0"/>
    <x v="2"/>
    <n v="12472.69"/>
    <n v="5.0999999999999996"/>
    <n v="5.49"/>
  </r>
  <r>
    <s v="PT0015231"/>
    <n v="22"/>
    <x v="1"/>
    <x v="4"/>
    <x v="1"/>
    <n v="5.4"/>
    <n v="6.7"/>
    <n v="0.1"/>
    <n v="5.6"/>
    <n v="4.9000000000000004"/>
    <x v="7"/>
    <x v="2"/>
    <n v="14162.95"/>
    <n v="6.8"/>
    <n v="5.43"/>
  </r>
  <r>
    <s v="PT0015357"/>
    <n v="61"/>
    <x v="0"/>
    <x v="6"/>
    <x v="1"/>
    <n v="6.2"/>
    <n v="0.6"/>
    <n v="1.8"/>
    <n v="2.5"/>
    <n v="6.5"/>
    <x v="4"/>
    <x v="0"/>
    <n v="56514.26"/>
    <n v="2.5"/>
    <n v="2.82"/>
  </r>
  <r>
    <s v="PT0015411"/>
    <n v="28"/>
    <x v="0"/>
    <x v="9"/>
    <x v="1"/>
    <n v="3.3"/>
    <n v="7.2"/>
    <n v="5.2"/>
    <n v="7.6"/>
    <n v="2.1"/>
    <x v="7"/>
    <x v="2"/>
    <n v="60860.69"/>
    <n v="2.2000000000000002"/>
    <n v="5.03"/>
  </r>
  <r>
    <s v="PT0015864"/>
    <n v="49"/>
    <x v="0"/>
    <x v="0"/>
    <x v="1"/>
    <n v="6.1"/>
    <n v="1.1000000000000001"/>
    <n v="8.6"/>
    <n v="5.9"/>
    <n v="0.3"/>
    <x v="0"/>
    <x v="2"/>
    <n v="72161.3"/>
    <n v="4.8"/>
    <n v="4.4400000000000004"/>
  </r>
  <r>
    <s v="PT0016275"/>
    <n v="47"/>
    <x v="3"/>
    <x v="4"/>
    <x v="1"/>
    <n v="9.1"/>
    <n v="8.1999999999999993"/>
    <n v="1.9"/>
    <n v="7.9"/>
    <n v="2.2000000000000002"/>
    <x v="1"/>
    <x v="2"/>
    <n v="89107.26"/>
    <n v="8.6"/>
    <n v="5.35"/>
  </r>
  <r>
    <s v="PT0016743"/>
    <n v="35"/>
    <x v="0"/>
    <x v="6"/>
    <x v="1"/>
    <n v="3.3"/>
    <n v="3"/>
    <n v="3.5"/>
    <n v="2.2999999999999998"/>
    <n v="3.4868421052631562"/>
    <x v="2"/>
    <x v="0"/>
    <n v="80439.3"/>
    <n v="2.7"/>
    <n v="2.98"/>
  </r>
  <r>
    <s v="PT0016973"/>
    <n v="75"/>
    <x v="3"/>
    <x v="0"/>
    <x v="1"/>
    <n v="5.8"/>
    <n v="7.8"/>
    <n v="2.7"/>
    <n v="7.9"/>
    <n v="8.1999999999999993"/>
    <x v="6"/>
    <x v="1"/>
    <n v="51582.19"/>
    <n v="7.6"/>
    <n v="6.1"/>
  </r>
  <r>
    <s v="PT0017029"/>
    <n v="76"/>
    <x v="0"/>
    <x v="2"/>
    <x v="1"/>
    <n v="0.3"/>
    <n v="4.7"/>
    <n v="1.6"/>
    <n v="3.6"/>
    <n v="5.6"/>
    <x v="4"/>
    <x v="0"/>
    <n v="17879.849999999999"/>
    <n v="4"/>
    <n v="3.93"/>
  </r>
  <r>
    <s v="PT0017138"/>
    <n v="29"/>
    <x v="3"/>
    <x v="7"/>
    <x v="1"/>
    <n v="0.6"/>
    <n v="7.4"/>
    <n v="4.0999999999999996"/>
    <n v="6.3"/>
    <n v="4.7321428571428585"/>
    <x v="0"/>
    <x v="2"/>
    <n v="66650.28"/>
    <n v="1.4"/>
    <n v="4.55"/>
  </r>
  <r>
    <s v="PT0017227"/>
    <n v="29"/>
    <x v="0"/>
    <x v="2"/>
    <x v="1"/>
    <n v="4.0999999999999996"/>
    <n v="7.6"/>
    <n v="3.1"/>
    <n v="4.4000000000000004"/>
    <n v="3.4"/>
    <x v="8"/>
    <x v="2"/>
    <n v="75519.05"/>
    <n v="50"/>
    <n v="4.13"/>
  </r>
  <r>
    <s v="PT0017459"/>
    <n v="73"/>
    <x v="3"/>
    <x v="3"/>
    <x v="1"/>
    <n v="9.3000000000000007"/>
    <n v="5.4"/>
    <n v="0.1"/>
    <n v="7.8"/>
    <n v="8.8000000000000007"/>
    <x v="7"/>
    <x v="2"/>
    <n v="80400.3"/>
    <n v="8"/>
    <n v="5.52"/>
  </r>
  <r>
    <s v="PT0017483"/>
    <n v="49"/>
    <x v="1"/>
    <x v="1"/>
    <x v="1"/>
    <n v="8.8000000000000007"/>
    <n v="8.4"/>
    <n v="3.9"/>
    <n v="9.3000000000000007"/>
    <n v="4.3"/>
    <x v="0"/>
    <x v="3"/>
    <n v="11416.24"/>
    <n v="5.4"/>
    <n v="35.47"/>
  </r>
  <r>
    <s v="PT0017633"/>
    <n v="73"/>
    <x v="3"/>
    <x v="1"/>
    <x v="1"/>
    <n v="6.5"/>
    <n v="5.5"/>
    <n v="4.1214285714285719"/>
    <n v="4.21875"/>
    <n v="4"/>
    <x v="8"/>
    <x v="1"/>
    <n v="6475.82"/>
    <n v="6.2"/>
    <n v="7.5"/>
  </r>
  <r>
    <s v="PT0017979"/>
    <n v="41"/>
    <x v="2"/>
    <x v="1"/>
    <x v="1"/>
    <n v="4.5"/>
    <n v="9.6999999999999993"/>
    <n v="3.7625000000000002"/>
    <n v="7.5"/>
    <n v="5.9"/>
    <x v="3"/>
    <x v="1"/>
    <n v="25995.51"/>
    <n v="3.3"/>
    <n v="6.29"/>
  </r>
  <r>
    <s v="PT0018205"/>
    <n v="26"/>
    <x v="1"/>
    <x v="9"/>
    <x v="1"/>
    <n v="4.4000000000000004"/>
    <n v="9.1"/>
    <n v="9.8000000000000007"/>
    <n v="2.7"/>
    <n v="4.3"/>
    <x v="0"/>
    <x v="2"/>
    <n v="58502"/>
    <n v="8"/>
    <n v="5.51"/>
  </r>
  <r>
    <s v="PT0018314"/>
    <n v="80"/>
    <x v="3"/>
    <x v="1"/>
    <x v="1"/>
    <n v="3.6"/>
    <n v="7.3"/>
    <n v="1.1000000000000001"/>
    <n v="6"/>
    <n v="0.7"/>
    <x v="1"/>
    <x v="2"/>
    <n v="45911.46"/>
    <n v="5.9"/>
    <n v="4.33"/>
  </r>
  <r>
    <s v="PT0018402"/>
    <n v="63"/>
    <x v="1"/>
    <x v="4"/>
    <x v="1"/>
    <n v="4.0999999999999996"/>
    <n v="4.8"/>
    <n v="4.7284552845528447"/>
    <n v="7.3"/>
    <n v="5.3"/>
    <x v="5"/>
    <x v="2"/>
    <n v="56152.41"/>
    <n v="2.6"/>
    <n v="5.0999999999999996"/>
  </r>
  <r>
    <s v="PT0018491"/>
    <n v="78"/>
    <x v="0"/>
    <x v="9"/>
    <x v="1"/>
    <n v="6.2"/>
    <n v="3.4"/>
    <n v="0.3"/>
    <n v="9.8000000000000007"/>
    <n v="9.6999999999999993"/>
    <x v="6"/>
    <x v="2"/>
    <n v="37144.35"/>
    <n v="6.5"/>
    <n v="5.98"/>
  </r>
  <r>
    <s v="PT0018563"/>
    <n v="34"/>
    <x v="1"/>
    <x v="9"/>
    <x v="1"/>
    <n v="4.7"/>
    <n v="0.7"/>
    <n v="3.5"/>
    <n v="4.9000000000000004"/>
    <n v="3.8"/>
    <x v="1"/>
    <x v="2"/>
    <n v="32333.1"/>
    <n v="6.5"/>
    <n v="4.28"/>
  </r>
  <r>
    <s v="PT0018603"/>
    <n v="78"/>
    <x v="1"/>
    <x v="1"/>
    <x v="1"/>
    <n v="8"/>
    <n v="6.9"/>
    <n v="7.6"/>
    <n v="3.3"/>
    <n v="4.0999999999999996"/>
    <x v="8"/>
    <x v="1"/>
    <n v="27483.85"/>
    <n v="5.3"/>
    <n v="6.3"/>
  </r>
  <r>
    <s v="PT0018818"/>
    <n v="43"/>
    <x v="3"/>
    <x v="8"/>
    <x v="1"/>
    <n v="0"/>
    <n v="2.2999999999999998"/>
    <n v="7.3"/>
    <n v="5.3"/>
    <n v="5"/>
    <x v="4"/>
    <x v="2"/>
    <n v="46507.7"/>
    <n v="9.1"/>
    <n v="4.07"/>
  </r>
  <r>
    <s v="PT0018939"/>
    <n v="62"/>
    <x v="0"/>
    <x v="7"/>
    <x v="1"/>
    <n v="4.2"/>
    <n v="1.6"/>
    <n v="0.7"/>
    <n v="4.5488"/>
    <n v="8.1999999999999993"/>
    <x v="1"/>
    <x v="0"/>
    <n v="64518.14"/>
    <n v="6.6"/>
    <n v="3.27"/>
  </r>
  <r>
    <s v="PT0019511"/>
    <n v="89"/>
    <x v="3"/>
    <x v="4"/>
    <x v="1"/>
    <n v="3.9"/>
    <n v="4.8"/>
    <n v="3.8"/>
    <n v="7.6"/>
    <n v="1.9"/>
    <x v="1"/>
    <x v="2"/>
    <n v="46685.3"/>
    <n v="6.8"/>
    <n v="4.95"/>
  </r>
  <r>
    <s v="PT0020738"/>
    <n v="41"/>
    <x v="1"/>
    <x v="4"/>
    <x v="1"/>
    <n v="4.8"/>
    <n v="9.8000000000000007"/>
    <n v="4.8"/>
    <n v="1.8"/>
    <n v="5.5"/>
    <x v="5"/>
    <x v="2"/>
    <n v="42320.34"/>
    <n v="2"/>
    <n v="5.21"/>
  </r>
  <r>
    <s v="PT0021041"/>
    <n v="56"/>
    <x v="2"/>
    <x v="3"/>
    <x v="1"/>
    <n v="5.5"/>
    <n v="6.6"/>
    <n v="3.5"/>
    <n v="0.4"/>
    <n v="6.2"/>
    <x v="8"/>
    <x v="0"/>
    <n v="87146.4"/>
    <n v="8"/>
    <n v="3.57"/>
  </r>
  <r>
    <s v="PT0021223"/>
    <n v="46"/>
    <x v="3"/>
    <x v="0"/>
    <x v="1"/>
    <n v="2.9"/>
    <n v="5"/>
    <n v="4.9978260869565219"/>
    <n v="2.7"/>
    <n v="7.6"/>
    <x v="0"/>
    <x v="2"/>
    <n v="57978.23"/>
    <n v="0.4"/>
    <n v="4.46"/>
  </r>
  <r>
    <s v="PT0021325"/>
    <n v="76"/>
    <x v="0"/>
    <x v="2"/>
    <x v="1"/>
    <n v="3.8"/>
    <n v="7"/>
    <n v="7.4"/>
    <n v="1.1000000000000001"/>
    <n v="8"/>
    <x v="6"/>
    <x v="2"/>
    <n v="96335.54"/>
    <n v="9.6999999999999993"/>
    <n v="4.01"/>
  </r>
  <r>
    <s v="PT0021455"/>
    <n v="81"/>
    <x v="0"/>
    <x v="8"/>
    <x v="1"/>
    <n v="7"/>
    <n v="2.9"/>
    <n v="6.9"/>
    <n v="2.7"/>
    <n v="9.3000000000000007"/>
    <x v="5"/>
    <x v="2"/>
    <n v="19068.84"/>
    <n v="0.4"/>
    <n v="5.96"/>
  </r>
  <r>
    <s v="PT0022463"/>
    <n v="21"/>
    <x v="1"/>
    <x v="8"/>
    <x v="1"/>
    <n v="9"/>
    <n v="2.5"/>
    <n v="1.5"/>
    <n v="1.3"/>
    <n v="7.3"/>
    <x v="3"/>
    <x v="3"/>
    <n v="49061.86"/>
    <n v="3.5"/>
    <n v="22.68"/>
  </r>
  <r>
    <s v="PT0022629"/>
    <n v="47"/>
    <x v="1"/>
    <x v="2"/>
    <x v="1"/>
    <n v="5.9"/>
    <n v="1.4"/>
    <n v="3.8"/>
    <n v="3.4"/>
    <n v="0.7"/>
    <x v="7"/>
    <x v="0"/>
    <n v="86975.82"/>
    <n v="8.1"/>
    <n v="2.97"/>
  </r>
  <r>
    <s v="PT0023018"/>
    <n v="52"/>
    <x v="1"/>
    <x v="9"/>
    <x v="1"/>
    <n v="6.2"/>
    <n v="3.6"/>
    <n v="4.8"/>
    <n v="3.8"/>
    <n v="9.1999999999999993"/>
    <x v="8"/>
    <x v="2"/>
    <n v="15261.8"/>
    <n v="9.9"/>
    <n v="5.87"/>
  </r>
  <r>
    <s v="PT0023466"/>
    <n v="50"/>
    <x v="3"/>
    <x v="2"/>
    <x v="1"/>
    <n v="2.6"/>
    <n v="4.0999999999999996"/>
    <n v="6.5"/>
    <n v="1.1000000000000001"/>
    <n v="5.6"/>
    <x v="0"/>
    <x v="2"/>
    <n v="14732.85"/>
    <n v="2.1"/>
    <n v="4.5999999999999996"/>
  </r>
  <r>
    <s v="PT0023820"/>
    <n v="87"/>
    <x v="0"/>
    <x v="5"/>
    <x v="1"/>
    <n v="4.8"/>
    <n v="6.6"/>
    <n v="1.2"/>
    <n v="6.1"/>
    <n v="4.7"/>
    <x v="1"/>
    <x v="2"/>
    <n v="15605.98"/>
    <n v="5.6"/>
    <n v="5.51"/>
  </r>
  <r>
    <s v="PT0024702"/>
    <n v="60"/>
    <x v="1"/>
    <x v="0"/>
    <x v="1"/>
    <n v="0.9"/>
    <n v="3.7"/>
    <n v="3.6"/>
    <n v="1.4"/>
    <n v="4.3"/>
    <x v="3"/>
    <x v="0"/>
    <n v="48804.66"/>
    <n v="4.2"/>
    <n v="2.52"/>
  </r>
  <r>
    <s v="PT0024872"/>
    <n v="73"/>
    <x v="0"/>
    <x v="9"/>
    <x v="1"/>
    <n v="1.7"/>
    <n v="9.6999999999999993"/>
    <n v="3.9"/>
    <n v="4.6282758620689668"/>
    <n v="6.1"/>
    <x v="1"/>
    <x v="1"/>
    <n v="10731.55"/>
    <n v="1.7"/>
    <n v="6.16"/>
  </r>
  <r>
    <s v="PT0026307"/>
    <n v="59"/>
    <x v="0"/>
    <x v="3"/>
    <x v="1"/>
    <n v="3.2"/>
    <n v="6.2"/>
    <n v="5"/>
    <n v="4"/>
    <n v="5.9"/>
    <x v="7"/>
    <x v="2"/>
    <n v="54997.16"/>
    <n v="6.7"/>
    <n v="4.6100000000000003"/>
  </r>
  <r>
    <s v="PT0026402"/>
    <n v="77"/>
    <x v="0"/>
    <x v="0"/>
    <x v="1"/>
    <n v="8.4"/>
    <n v="9.8000000000000007"/>
    <n v="3.1"/>
    <n v="6.1"/>
    <n v="5.9"/>
    <x v="2"/>
    <x v="1"/>
    <n v="21387.21"/>
    <n v="9.6999999999999993"/>
    <n v="7"/>
  </r>
  <r>
    <s v="PT0026648"/>
    <n v="80"/>
    <x v="3"/>
    <x v="6"/>
    <x v="1"/>
    <n v="3.3"/>
    <n v="6.5"/>
    <n v="9.6999999999999993"/>
    <n v="4"/>
    <n v="5.4"/>
    <x v="4"/>
    <x v="2"/>
    <n v="91537.79"/>
    <n v="9.1999999999999993"/>
    <n v="4.5999999999999996"/>
  </r>
  <r>
    <s v="PT0026685"/>
    <n v="20"/>
    <x v="0"/>
    <x v="7"/>
    <x v="1"/>
    <n v="6.6"/>
    <n v="1.6"/>
    <n v="5.5"/>
    <n v="0.2"/>
    <n v="1.6"/>
    <x v="8"/>
    <x v="3"/>
    <n v="26551.57"/>
    <n v="3.7"/>
    <n v="16.55"/>
  </r>
  <r>
    <s v="PT0027297"/>
    <n v="87"/>
    <x v="1"/>
    <x v="2"/>
    <x v="1"/>
    <n v="5.0999999999999996"/>
    <n v="4.9000000000000004"/>
    <n v="0"/>
    <n v="4.0571428571428561"/>
    <n v="8"/>
    <x v="4"/>
    <x v="2"/>
    <n v="6228.17"/>
    <n v="7.4"/>
    <n v="5.99"/>
  </r>
  <r>
    <s v="PT0027418"/>
    <n v="74"/>
    <x v="2"/>
    <x v="9"/>
    <x v="1"/>
    <n v="6.8"/>
    <n v="9.1999999999999993"/>
    <n v="7.4"/>
    <n v="4.2"/>
    <n v="9.1999999999999993"/>
    <x v="8"/>
    <x v="2"/>
    <n v="81940.25"/>
    <n v="3.6"/>
    <n v="5.97"/>
  </r>
  <r>
    <s v="PT0027427"/>
    <n v="74"/>
    <x v="0"/>
    <x v="8"/>
    <x v="1"/>
    <n v="4"/>
    <n v="5.0999999999999996"/>
    <n v="8.1"/>
    <n v="6.8"/>
    <n v="6.8"/>
    <x v="2"/>
    <x v="1"/>
    <n v="29456.720000000001"/>
    <n v="4.9000000000000004"/>
    <n v="6.23"/>
  </r>
  <r>
    <s v="PT0027502"/>
    <n v="26"/>
    <x v="0"/>
    <x v="1"/>
    <x v="1"/>
    <n v="5.6"/>
    <n v="3"/>
    <n v="8.4"/>
    <n v="2.6"/>
    <n v="2"/>
    <x v="2"/>
    <x v="0"/>
    <n v="88353.8"/>
    <n v="1.1000000000000001"/>
    <n v="3.78"/>
  </r>
  <r>
    <s v="PT0027910"/>
    <n v="89"/>
    <x v="0"/>
    <x v="8"/>
    <x v="1"/>
    <n v="6.7"/>
    <n v="3.1"/>
    <n v="4.5999999999999996"/>
    <n v="8.9"/>
    <n v="7.1"/>
    <x v="6"/>
    <x v="1"/>
    <n v="32430.79"/>
    <n v="0.2"/>
    <n v="6.34"/>
  </r>
  <r>
    <s v="PT0027990"/>
    <n v="26"/>
    <x v="3"/>
    <x v="8"/>
    <x v="1"/>
    <n v="8.4"/>
    <n v="1"/>
    <n v="9.9"/>
    <n v="0.1"/>
    <n v="1.9"/>
    <x v="5"/>
    <x v="0"/>
    <n v="83055.59"/>
    <n v="3.3"/>
    <n v="3.86"/>
  </r>
  <r>
    <s v="PT0028082"/>
    <n v="22"/>
    <x v="1"/>
    <x v="6"/>
    <x v="1"/>
    <n v="9"/>
    <n v="4"/>
    <n v="1.4"/>
    <n v="5.3"/>
    <n v="6.5"/>
    <x v="3"/>
    <x v="2"/>
    <n v="16491.57"/>
    <n v="1.1000000000000001"/>
    <n v="5.99"/>
  </r>
  <r>
    <s v="PT0028106"/>
    <n v="86"/>
    <x v="3"/>
    <x v="8"/>
    <x v="1"/>
    <n v="3.2"/>
    <n v="1.3"/>
    <n v="6"/>
    <n v="2.7"/>
    <n v="0.1"/>
    <x v="6"/>
    <x v="0"/>
    <n v="60641.88"/>
    <n v="8.6"/>
    <n v="3.07"/>
  </r>
  <r>
    <s v="PT0028351"/>
    <n v="35"/>
    <x v="1"/>
    <x v="6"/>
    <x v="1"/>
    <n v="0.5"/>
    <n v="3.1"/>
    <n v="1.4"/>
    <n v="5.3"/>
    <n v="8.6"/>
    <x v="3"/>
    <x v="0"/>
    <n v="58463.62"/>
    <n v="6.5"/>
    <n v="3.53"/>
  </r>
  <r>
    <s v="PT0028478"/>
    <n v="43"/>
    <x v="3"/>
    <x v="0"/>
    <x v="1"/>
    <n v="8.1999999999999993"/>
    <n v="1.2"/>
    <n v="4.6942675159235661"/>
    <n v="9.3000000000000007"/>
    <n v="3.2"/>
    <x v="2"/>
    <x v="2"/>
    <n v="90841.75"/>
    <n v="1.5"/>
    <n v="4.51"/>
  </r>
  <r>
    <s v="PT0028543"/>
    <n v="31"/>
    <x v="3"/>
    <x v="6"/>
    <x v="1"/>
    <n v="5.0355704697986576"/>
    <n v="2.5"/>
    <n v="7"/>
    <n v="8.5"/>
    <n v="10"/>
    <x v="7"/>
    <x v="2"/>
    <n v="83638.48"/>
    <n v="3.4"/>
    <n v="5.85"/>
  </r>
  <r>
    <s v="PT0028757"/>
    <n v="79"/>
    <x v="0"/>
    <x v="1"/>
    <x v="1"/>
    <n v="5.7"/>
    <n v="4.8"/>
    <n v="6.5"/>
    <n v="2.7"/>
    <n v="2.1"/>
    <x v="6"/>
    <x v="0"/>
    <n v="92498.36"/>
    <n v="4"/>
    <n v="3.33"/>
  </r>
  <r>
    <s v="PT0028839"/>
    <n v="33"/>
    <x v="1"/>
    <x v="0"/>
    <x v="1"/>
    <n v="7"/>
    <n v="9.6"/>
    <n v="6.3"/>
    <n v="1.3"/>
    <n v="5.7"/>
    <x v="4"/>
    <x v="2"/>
    <n v="72847.39"/>
    <n v="3.6"/>
    <n v="5.16"/>
  </r>
  <r>
    <s v="PT0029143"/>
    <n v="65"/>
    <x v="1"/>
    <x v="1"/>
    <x v="1"/>
    <n v="8.8000000000000007"/>
    <n v="8.5"/>
    <n v="6.2"/>
    <n v="4.3"/>
    <n v="4.5999999999999996"/>
    <x v="2"/>
    <x v="1"/>
    <n v="5541.08"/>
    <n v="4.5"/>
    <n v="7.17"/>
  </r>
  <r>
    <s v="PT0029270"/>
    <n v="86"/>
    <x v="3"/>
    <x v="3"/>
    <x v="1"/>
    <n v="4.5999999999999996"/>
    <n v="5.2"/>
    <n v="2.2999999999999998"/>
    <n v="3.8525423728813566"/>
    <n v="3"/>
    <x v="7"/>
    <x v="0"/>
    <n v="63828.95"/>
    <n v="0.5"/>
    <n v="3.25"/>
  </r>
  <r>
    <s v="PT0029364"/>
    <n v="53"/>
    <x v="3"/>
    <x v="7"/>
    <x v="1"/>
    <n v="4.7"/>
    <n v="6.2"/>
    <n v="6.9"/>
    <n v="3.1"/>
    <n v="1.8"/>
    <x v="0"/>
    <x v="0"/>
    <n v="89951.86"/>
    <n v="3.6"/>
    <n v="3.91"/>
  </r>
  <r>
    <s v="PT0029368"/>
    <n v="35"/>
    <x v="1"/>
    <x v="5"/>
    <x v="1"/>
    <n v="9.1999999999999993"/>
    <n v="8.4"/>
    <n v="3.2"/>
    <n v="8.9"/>
    <n v="6.4"/>
    <x v="1"/>
    <x v="1"/>
    <n v="56388.78"/>
    <n v="3.6"/>
    <n v="6.87"/>
  </r>
  <r>
    <s v="PT0029585"/>
    <n v="76"/>
    <x v="1"/>
    <x v="3"/>
    <x v="1"/>
    <n v="3.5"/>
    <n v="6.7"/>
    <n v="3"/>
    <n v="5.8"/>
    <n v="8.3000000000000007"/>
    <x v="0"/>
    <x v="2"/>
    <n v="49504.69"/>
    <n v="7.2"/>
    <n v="5.15"/>
  </r>
  <r>
    <s v="PT0029743"/>
    <n v="26"/>
    <x v="3"/>
    <x v="2"/>
    <x v="1"/>
    <n v="1"/>
    <n v="1.9"/>
    <n v="2.9"/>
    <n v="7.4"/>
    <n v="4.4000000000000004"/>
    <x v="7"/>
    <x v="2"/>
    <n v="19583.03"/>
    <n v="6.5"/>
    <n v="5.31"/>
  </r>
  <r>
    <s v="PT0030210"/>
    <n v="58"/>
    <x v="0"/>
    <x v="3"/>
    <x v="1"/>
    <n v="8.5"/>
    <n v="7.9"/>
    <n v="6.2"/>
    <n v="0.3"/>
    <n v="6"/>
    <x v="6"/>
    <x v="2"/>
    <n v="68840.38"/>
    <n v="6"/>
    <n v="5.0999999999999996"/>
  </r>
  <r>
    <s v="PT0030219"/>
    <n v="50"/>
    <x v="0"/>
    <x v="8"/>
    <x v="1"/>
    <n v="7.4"/>
    <n v="2.2000000000000002"/>
    <n v="7.1"/>
    <n v="3.6"/>
    <n v="3.3"/>
    <x v="0"/>
    <x v="0"/>
    <n v="98578.87"/>
    <n v="9.6999999999999993"/>
    <n v="3.95"/>
  </r>
  <r>
    <s v="PT0030296"/>
    <n v="34"/>
    <x v="0"/>
    <x v="9"/>
    <x v="1"/>
    <n v="0.7"/>
    <n v="6.1"/>
    <n v="7.8"/>
    <n v="2.6"/>
    <n v="0.1"/>
    <x v="7"/>
    <x v="0"/>
    <n v="98932.86"/>
    <n v="9.5"/>
    <n v="2.78"/>
  </r>
  <r>
    <s v="PT0030359"/>
    <n v="76"/>
    <x v="3"/>
    <x v="1"/>
    <x v="1"/>
    <n v="6.2"/>
    <n v="5.0999999999999996"/>
    <n v="0.9"/>
    <n v="2.2000000000000002"/>
    <n v="2.5"/>
    <x v="3"/>
    <x v="0"/>
    <n v="95289.45"/>
    <n v="8.6"/>
    <n v="2.19"/>
  </r>
  <r>
    <s v="PT0030428"/>
    <n v="84"/>
    <x v="1"/>
    <x v="3"/>
    <x v="1"/>
    <n v="7.7"/>
    <n v="8.9"/>
    <n v="2.2000000000000002"/>
    <n v="7.6"/>
    <n v="2.5"/>
    <x v="2"/>
    <x v="1"/>
    <n v="34122.74"/>
    <n v="1"/>
    <n v="6.29"/>
  </r>
  <r>
    <s v="PT0030650"/>
    <n v="26"/>
    <x v="0"/>
    <x v="5"/>
    <x v="1"/>
    <n v="6.2"/>
    <n v="4.0999999999999996"/>
    <n v="9.8000000000000007"/>
    <n v="8.5"/>
    <n v="9"/>
    <x v="7"/>
    <x v="1"/>
    <n v="87997.56"/>
    <n v="5.4"/>
    <n v="6.17"/>
  </r>
  <r>
    <s v="PT0030797"/>
    <n v="20"/>
    <x v="1"/>
    <x v="8"/>
    <x v="1"/>
    <n v="8.5"/>
    <n v="0"/>
    <n v="9.6999999999999993"/>
    <n v="1"/>
    <n v="9.9"/>
    <x v="1"/>
    <x v="1"/>
    <n v="9983.8700000000008"/>
    <n v="8.6"/>
    <n v="6.15"/>
  </r>
  <r>
    <s v="PT0030909"/>
    <n v="42"/>
    <x v="1"/>
    <x v="5"/>
    <x v="1"/>
    <n v="4.7"/>
    <n v="1.4"/>
    <n v="4.2"/>
    <n v="5.5"/>
    <n v="5.8"/>
    <x v="6"/>
    <x v="2"/>
    <n v="30469.78"/>
    <n v="1.8"/>
    <n v="4.8499999999999996"/>
  </r>
  <r>
    <s v="PT0030952"/>
    <n v="50"/>
    <x v="3"/>
    <x v="7"/>
    <x v="1"/>
    <n v="9.9"/>
    <n v="3.9"/>
    <n v="3.9"/>
    <n v="0.9"/>
    <n v="0.9"/>
    <x v="1"/>
    <x v="2"/>
    <n v="24985.23"/>
    <n v="9.1999999999999993"/>
    <n v="5.15"/>
  </r>
  <r>
    <s v="PT0030989"/>
    <n v="87"/>
    <x v="3"/>
    <x v="9"/>
    <x v="1"/>
    <n v="3.7"/>
    <n v="3.8"/>
    <n v="7.2"/>
    <n v="8.9"/>
    <n v="5.0999999999999996"/>
    <x v="2"/>
    <x v="2"/>
    <n v="46627"/>
    <n v="4.3"/>
    <n v="5.75"/>
  </r>
  <r>
    <s v="PT0031051"/>
    <n v="67"/>
    <x v="0"/>
    <x v="5"/>
    <x v="1"/>
    <n v="1"/>
    <n v="4.9000000000000004"/>
    <n v="8.6"/>
    <n v="0.1"/>
    <n v="5.4"/>
    <x v="4"/>
    <x v="0"/>
    <n v="62640.07"/>
    <n v="7.3"/>
    <n v="3.53"/>
  </r>
  <r>
    <s v="PT0031259"/>
    <n v="69"/>
    <x v="1"/>
    <x v="0"/>
    <x v="1"/>
    <n v="4.4000000000000004"/>
    <n v="0.1"/>
    <n v="7.7"/>
    <n v="8.5"/>
    <n v="5.9"/>
    <x v="0"/>
    <x v="2"/>
    <n v="45124.05"/>
    <n v="1.1000000000000001"/>
    <n v="5.44"/>
  </r>
  <r>
    <s v="PT0031613"/>
    <n v="83"/>
    <x v="2"/>
    <x v="9"/>
    <x v="1"/>
    <n v="5.8"/>
    <n v="5"/>
    <n v="6.9"/>
    <n v="6.7"/>
    <n v="2.7"/>
    <x v="0"/>
    <x v="1"/>
    <n v="16455.62"/>
    <n v="8.5"/>
    <n v="6.23"/>
  </r>
  <r>
    <s v="PT0031695"/>
    <n v="86"/>
    <x v="1"/>
    <x v="9"/>
    <x v="1"/>
    <n v="5.3751724137931056"/>
    <n v="2.4"/>
    <n v="7.7"/>
    <n v="8.9"/>
    <n v="6.2"/>
    <x v="2"/>
    <x v="1"/>
    <n v="20814.84"/>
    <n v="5.3"/>
    <n v="7.32"/>
  </r>
  <r>
    <s v="PT0032050"/>
    <n v="85"/>
    <x v="0"/>
    <x v="0"/>
    <x v="1"/>
    <n v="4.9000000000000004"/>
    <n v="9.1"/>
    <n v="7.3"/>
    <n v="8.8000000000000007"/>
    <n v="5.2"/>
    <x v="4"/>
    <x v="1"/>
    <n v="6988.99"/>
    <n v="7.8"/>
    <n v="7.58"/>
  </r>
  <r>
    <s v="PT0032223"/>
    <n v="23"/>
    <x v="1"/>
    <x v="6"/>
    <x v="1"/>
    <n v="1.7"/>
    <n v="9.5"/>
    <n v="0.5"/>
    <n v="5.2"/>
    <n v="4.3"/>
    <x v="2"/>
    <x v="2"/>
    <n v="27933.85"/>
    <n v="8.6999999999999993"/>
    <n v="4.75"/>
  </r>
  <r>
    <s v="PT0032396"/>
    <n v="80"/>
    <x v="0"/>
    <x v="5"/>
    <x v="1"/>
    <n v="1.6"/>
    <n v="1.2"/>
    <n v="9.6999999999999993"/>
    <n v="7.8"/>
    <n v="9.1"/>
    <x v="1"/>
    <x v="2"/>
    <n v="64187.32"/>
    <n v="2.8"/>
    <n v="5.14"/>
  </r>
  <r>
    <s v="PT0032464"/>
    <n v="58"/>
    <x v="0"/>
    <x v="0"/>
    <x v="1"/>
    <n v="1.3"/>
    <n v="8.6"/>
    <n v="9.8000000000000007"/>
    <n v="6.6"/>
    <n v="3"/>
    <x v="4"/>
    <x v="2"/>
    <n v="80716.69"/>
    <n v="1.3"/>
    <n v="5.03"/>
  </r>
  <r>
    <s v="PT0032510"/>
    <n v="72"/>
    <x v="3"/>
    <x v="6"/>
    <x v="1"/>
    <n v="6.8"/>
    <n v="5.4"/>
    <n v="8.8000000000000007"/>
    <n v="4.5"/>
    <n v="4.1082758620689672"/>
    <x v="7"/>
    <x v="2"/>
    <n v="90585.78"/>
    <n v="9.6999999999999993"/>
    <n v="5.52"/>
  </r>
  <r>
    <s v="PT0032725"/>
    <n v="86"/>
    <x v="2"/>
    <x v="7"/>
    <x v="1"/>
    <n v="3.7"/>
    <n v="2.2999999999999998"/>
    <n v="5.8"/>
    <n v="1.5"/>
    <n v="1.2"/>
    <x v="8"/>
    <x v="0"/>
    <n v="50549.34"/>
    <n v="2.2999999999999998"/>
    <n v="3.36"/>
  </r>
  <r>
    <s v="PT0032747"/>
    <n v="52"/>
    <x v="0"/>
    <x v="3"/>
    <x v="1"/>
    <n v="1.6"/>
    <n v="3.2"/>
    <n v="6.1"/>
    <n v="6.5"/>
    <n v="8.4"/>
    <x v="1"/>
    <x v="2"/>
    <n v="79432.58"/>
    <n v="5.9"/>
    <n v="4.2699999999999996"/>
  </r>
  <r>
    <s v="PT0032955"/>
    <n v="74"/>
    <x v="0"/>
    <x v="0"/>
    <x v="1"/>
    <n v="10"/>
    <n v="9.1"/>
    <n v="5.6"/>
    <n v="0.4"/>
    <n v="1.3"/>
    <x v="7"/>
    <x v="1"/>
    <n v="11654.44"/>
    <n v="2.4"/>
    <n v="6.18"/>
  </r>
  <r>
    <s v="PT0033041"/>
    <n v="57"/>
    <x v="1"/>
    <x v="5"/>
    <x v="1"/>
    <n v="7.4"/>
    <n v="9"/>
    <n v="8.6999999999999993"/>
    <n v="0.6"/>
    <n v="4.9000000000000004"/>
    <x v="0"/>
    <x v="1"/>
    <n v="8020.23"/>
    <n v="5.2"/>
    <n v="6.58"/>
  </r>
  <r>
    <s v="PT0033109"/>
    <n v="41"/>
    <x v="0"/>
    <x v="0"/>
    <x v="1"/>
    <n v="1.8"/>
    <n v="3.5"/>
    <n v="4.5"/>
    <n v="9"/>
    <n v="5.7"/>
    <x v="6"/>
    <x v="0"/>
    <n v="99313.48"/>
    <n v="1.8"/>
    <n v="3.94"/>
  </r>
  <r>
    <s v="PT0033170"/>
    <n v="87"/>
    <x v="2"/>
    <x v="5"/>
    <x v="1"/>
    <n v="5.9"/>
    <n v="0.3"/>
    <n v="6.7"/>
    <n v="1.6"/>
    <n v="6.1"/>
    <x v="7"/>
    <x v="2"/>
    <n v="22634.400000000001"/>
    <n v="6.5"/>
    <n v="4.71"/>
  </r>
  <r>
    <s v="PT0033299"/>
    <n v="60"/>
    <x v="1"/>
    <x v="1"/>
    <x v="1"/>
    <n v="1.2"/>
    <n v="3.1"/>
    <n v="7.4"/>
    <n v="2.2000000000000002"/>
    <n v="1.5"/>
    <x v="0"/>
    <x v="0"/>
    <n v="37396.1"/>
    <n v="2"/>
    <n v="3.66"/>
  </r>
  <r>
    <s v="PT0033498"/>
    <n v="21"/>
    <x v="3"/>
    <x v="5"/>
    <x v="1"/>
    <n v="1"/>
    <n v="0.4"/>
    <n v="4.7"/>
    <n v="2.8"/>
    <n v="7"/>
    <x v="8"/>
    <x v="0"/>
    <n v="76820.009999999995"/>
    <n v="9.3000000000000007"/>
    <n v="2.69"/>
  </r>
  <r>
    <s v="PT0033513"/>
    <n v="77"/>
    <x v="0"/>
    <x v="3"/>
    <x v="1"/>
    <n v="7"/>
    <n v="1"/>
    <n v="0.3"/>
    <n v="4.5"/>
    <n v="2.1"/>
    <x v="2"/>
    <x v="0"/>
    <n v="69508.62"/>
    <n v="7.4"/>
    <n v="3.31"/>
  </r>
  <r>
    <s v="PT0033589"/>
    <n v="60"/>
    <x v="3"/>
    <x v="2"/>
    <x v="1"/>
    <n v="7.4"/>
    <n v="2"/>
    <n v="2"/>
    <n v="1.5"/>
    <n v="5.2"/>
    <x v="4"/>
    <x v="2"/>
    <n v="11332.75"/>
    <n v="6.8"/>
    <n v="4.67"/>
  </r>
  <r>
    <s v="PT0033874"/>
    <n v="33"/>
    <x v="3"/>
    <x v="1"/>
    <x v="1"/>
    <n v="5.6452702702702684"/>
    <n v="8.3000000000000007"/>
    <n v="5.9"/>
    <n v="2.2000000000000002"/>
    <n v="7"/>
    <x v="4"/>
    <x v="1"/>
    <n v="36206.33"/>
    <n v="9.6"/>
    <n v="6.13"/>
  </r>
  <r>
    <s v="PT0034034"/>
    <n v="46"/>
    <x v="2"/>
    <x v="2"/>
    <x v="1"/>
    <n v="6"/>
    <n v="4.7"/>
    <n v="0.9"/>
    <n v="4.0999999999999996"/>
    <n v="2.2999999999999998"/>
    <x v="3"/>
    <x v="2"/>
    <n v="8960.42"/>
    <n v="2.2999999999999998"/>
    <n v="4.96"/>
  </r>
  <r>
    <s v="PT0034126"/>
    <n v="37"/>
    <x v="3"/>
    <x v="4"/>
    <x v="1"/>
    <n v="9.6"/>
    <n v="7.7"/>
    <n v="2.4"/>
    <n v="3.3"/>
    <n v="3.8"/>
    <x v="0"/>
    <x v="2"/>
    <n v="73209.259999999995"/>
    <n v="4.8"/>
    <n v="5.01"/>
  </r>
  <r>
    <s v="PT0034169"/>
    <n v="24"/>
    <x v="0"/>
    <x v="4"/>
    <x v="1"/>
    <n v="4.3"/>
    <n v="5.9"/>
    <n v="5.0999999999999996"/>
    <n v="1"/>
    <n v="9.3000000000000007"/>
    <x v="0"/>
    <x v="2"/>
    <n v="76895.75"/>
    <n v="8"/>
    <n v="4.0999999999999996"/>
  </r>
  <r>
    <s v="PT0034193"/>
    <n v="32"/>
    <x v="3"/>
    <x v="7"/>
    <x v="1"/>
    <n v="1.9"/>
    <n v="1.2"/>
    <n v="5.6"/>
    <n v="7.2"/>
    <n v="6.7"/>
    <x v="1"/>
    <x v="2"/>
    <n v="69501.759999999995"/>
    <n v="4.5"/>
    <n v="4.12"/>
  </r>
  <r>
    <s v="PT0034299"/>
    <n v="83"/>
    <x v="1"/>
    <x v="2"/>
    <x v="1"/>
    <n v="1.7"/>
    <n v="1.6"/>
    <n v="4.0999999999999996"/>
    <n v="1.1000000000000001"/>
    <n v="4.7"/>
    <x v="7"/>
    <x v="0"/>
    <n v="64781.63"/>
    <n v="5.5"/>
    <n v="2.59"/>
  </r>
  <r>
    <s v="PT0034330"/>
    <n v="64"/>
    <x v="1"/>
    <x v="9"/>
    <x v="1"/>
    <n v="4.6166666666666671"/>
    <n v="0.7"/>
    <n v="0.5"/>
    <n v="5.3"/>
    <n v="5.2"/>
    <x v="0"/>
    <x v="2"/>
    <n v="13271.38"/>
    <n v="4.8"/>
    <n v="5.13"/>
  </r>
  <r>
    <s v="PT0034410"/>
    <n v="21"/>
    <x v="0"/>
    <x v="4"/>
    <x v="1"/>
    <n v="3.2"/>
    <n v="8.6999999999999993"/>
    <n v="4.8"/>
    <n v="7.4"/>
    <n v="0.8"/>
    <x v="8"/>
    <x v="3"/>
    <n v="64777.89"/>
    <n v="3.3"/>
    <n v="26.02"/>
  </r>
  <r>
    <s v="PT0034452"/>
    <n v="44"/>
    <x v="0"/>
    <x v="1"/>
    <x v="1"/>
    <n v="2.2999999999999998"/>
    <n v="8.4"/>
    <n v="9.5"/>
    <n v="2.2000000000000002"/>
    <n v="3.7420454545454542"/>
    <x v="3"/>
    <x v="2"/>
    <n v="83917.63"/>
    <n v="5.3"/>
    <n v="4.71"/>
  </r>
  <r>
    <s v="PT0034592"/>
    <n v="72"/>
    <x v="2"/>
    <x v="7"/>
    <x v="1"/>
    <n v="4.4000000000000004"/>
    <n v="0.2"/>
    <n v="3.1"/>
    <n v="0.9"/>
    <n v="2.2000000000000002"/>
    <x v="0"/>
    <x v="0"/>
    <n v="27476.85"/>
    <n v="0.7"/>
    <n v="3.23"/>
  </r>
  <r>
    <s v="PT0034649"/>
    <n v="32"/>
    <x v="3"/>
    <x v="4"/>
    <x v="1"/>
    <n v="1.8"/>
    <n v="5.9"/>
    <n v="0.7"/>
    <n v="9.9"/>
    <n v="4.2"/>
    <x v="3"/>
    <x v="2"/>
    <n v="52258.21"/>
    <n v="4.5999999999999996"/>
    <n v="5.37"/>
  </r>
  <r>
    <s v="PT0034894"/>
    <n v="26"/>
    <x v="0"/>
    <x v="3"/>
    <x v="1"/>
    <n v="0.9"/>
    <n v="0.8"/>
    <n v="10"/>
    <n v="6.4"/>
    <n v="4.5999999999999996"/>
    <x v="5"/>
    <x v="2"/>
    <n v="59805"/>
    <n v="3"/>
    <n v="4.34"/>
  </r>
  <r>
    <s v="PT0034994"/>
    <n v="67"/>
    <x v="0"/>
    <x v="7"/>
    <x v="1"/>
    <n v="3.7"/>
    <n v="0.3"/>
    <n v="3.6"/>
    <n v="3.3"/>
    <n v="1.3"/>
    <x v="0"/>
    <x v="0"/>
    <n v="71084.27"/>
    <n v="2.5"/>
    <n v="2.69"/>
  </r>
  <r>
    <s v="PT0035483"/>
    <n v="71"/>
    <x v="3"/>
    <x v="8"/>
    <x v="1"/>
    <n v="5.8"/>
    <n v="1.9"/>
    <n v="0"/>
    <n v="1.5"/>
    <n v="6.6"/>
    <x v="0"/>
    <x v="3"/>
    <n v="41814.17"/>
    <n v="0.9"/>
    <n v="17.32"/>
  </r>
  <r>
    <s v="PT0035946"/>
    <n v="45"/>
    <x v="0"/>
    <x v="8"/>
    <x v="1"/>
    <n v="8.6999999999999993"/>
    <n v="8.3000000000000007"/>
    <n v="0.9"/>
    <n v="5.3"/>
    <n v="6.3"/>
    <x v="6"/>
    <x v="2"/>
    <n v="61941.68"/>
    <n v="0.3"/>
    <n v="5.57"/>
  </r>
  <r>
    <s v="PT0036264"/>
    <n v="76"/>
    <x v="0"/>
    <x v="0"/>
    <x v="1"/>
    <n v="4.4000000000000004"/>
    <n v="9.4"/>
    <n v="4.9000000000000004"/>
    <n v="2.2000000000000002"/>
    <n v="1"/>
    <x v="2"/>
    <x v="2"/>
    <n v="29507.62"/>
    <n v="5.6"/>
    <n v="4.97"/>
  </r>
  <r>
    <s v="PT0036360"/>
    <n v="99"/>
    <x v="1"/>
    <x v="2"/>
    <x v="1"/>
    <n v="5.1875"/>
    <n v="7.9"/>
    <n v="2.6"/>
    <n v="4.2519999999999998"/>
    <n v="7.1"/>
    <x v="1"/>
    <x v="2"/>
    <n v="64226.9"/>
    <n v="5.6"/>
    <n v="4.3"/>
  </r>
  <r>
    <s v="PT0036750"/>
    <n v="46"/>
    <x v="1"/>
    <x v="2"/>
    <x v="1"/>
    <n v="7.5"/>
    <n v="8.1"/>
    <n v="5.4"/>
    <n v="3.1"/>
    <n v="8.6999999999999993"/>
    <x v="7"/>
    <x v="2"/>
    <n v="82059.259999999995"/>
    <n v="7.5"/>
    <n v="5.37"/>
  </r>
  <r>
    <s v="PT0036842"/>
    <n v="48"/>
    <x v="2"/>
    <x v="5"/>
    <x v="1"/>
    <n v="6.8"/>
    <n v="5"/>
    <n v="0.1"/>
    <n v="6.8"/>
    <n v="4.786956521739131"/>
    <x v="5"/>
    <x v="2"/>
    <n v="53668.72"/>
    <n v="6"/>
    <n v="5.13"/>
  </r>
  <r>
    <s v="PT0037311"/>
    <n v="33"/>
    <x v="3"/>
    <x v="1"/>
    <x v="1"/>
    <n v="9.6999999999999993"/>
    <n v="7.7"/>
    <n v="9.8000000000000007"/>
    <n v="4"/>
    <n v="0.7"/>
    <x v="1"/>
    <x v="1"/>
    <n v="41721.81"/>
    <n v="1"/>
    <n v="6.6"/>
  </r>
  <r>
    <s v="PT0037520"/>
    <n v="73"/>
    <x v="1"/>
    <x v="8"/>
    <x v="1"/>
    <n v="2.9"/>
    <n v="0.8"/>
    <n v="1.6"/>
    <n v="8.3000000000000007"/>
    <n v="3.9"/>
    <x v="7"/>
    <x v="2"/>
    <n v="33018.879999999997"/>
    <n v="1.9"/>
    <n v="4.33"/>
  </r>
  <r>
    <s v="PT0037851"/>
    <n v="76"/>
    <x v="3"/>
    <x v="9"/>
    <x v="1"/>
    <n v="6.8"/>
    <n v="5.8"/>
    <n v="2.6"/>
    <n v="9.9"/>
    <n v="6.1"/>
    <x v="6"/>
    <x v="1"/>
    <n v="46955.11"/>
    <n v="6.4"/>
    <n v="6.27"/>
  </r>
  <r>
    <s v="PT0037912"/>
    <n v="36"/>
    <x v="2"/>
    <x v="0"/>
    <x v="1"/>
    <n v="8.5"/>
    <n v="8.9"/>
    <n v="7.1"/>
    <n v="4.4000000000000004"/>
    <n v="6.9"/>
    <x v="3"/>
    <x v="1"/>
    <n v="72276.73"/>
    <n v="4.0999999999999996"/>
    <n v="6.22"/>
  </r>
  <r>
    <s v="PT0038185"/>
    <n v="66"/>
    <x v="0"/>
    <x v="3"/>
    <x v="1"/>
    <n v="0.3"/>
    <n v="8.9"/>
    <n v="2.2999999999999998"/>
    <n v="0.8"/>
    <n v="5.7"/>
    <x v="6"/>
    <x v="0"/>
    <n v="97309.26"/>
    <n v="3.5"/>
    <n v="2.52"/>
  </r>
  <r>
    <s v="PT0038532"/>
    <n v="45"/>
    <x v="3"/>
    <x v="1"/>
    <x v="1"/>
    <n v="7.5"/>
    <n v="1.2"/>
    <n v="4.4000000000000004"/>
    <n v="7.8"/>
    <n v="6.1"/>
    <x v="2"/>
    <x v="2"/>
    <n v="65443.55"/>
    <n v="7.8"/>
    <n v="5.2"/>
  </r>
  <r>
    <s v="PT0039044"/>
    <n v="21"/>
    <x v="2"/>
    <x v="2"/>
    <x v="1"/>
    <n v="8.1"/>
    <n v="1"/>
    <n v="4.8"/>
    <n v="9.4"/>
    <n v="2.9"/>
    <x v="7"/>
    <x v="2"/>
    <n v="60890.34"/>
    <n v="4"/>
    <n v="5.44"/>
  </r>
  <r>
    <s v="PT0039668"/>
    <n v="25"/>
    <x v="3"/>
    <x v="5"/>
    <x v="1"/>
    <n v="2.4"/>
    <n v="4"/>
    <n v="3.6"/>
    <n v="3.9"/>
    <n v="6.4"/>
    <x v="2"/>
    <x v="2"/>
    <n v="37676.57"/>
    <n v="1"/>
    <n v="4.57"/>
  </r>
  <r>
    <s v="PT0039849"/>
    <n v="47"/>
    <x v="3"/>
    <x v="6"/>
    <x v="1"/>
    <n v="0.1"/>
    <n v="0.9"/>
    <n v="4.3"/>
    <n v="10"/>
    <n v="2.9"/>
    <x v="2"/>
    <x v="0"/>
    <n v="93134.63"/>
    <n v="6.7"/>
    <n v="3.23"/>
  </r>
  <r>
    <s v="PT0039909"/>
    <n v="37"/>
    <x v="1"/>
    <x v="4"/>
    <x v="1"/>
    <n v="5.5"/>
    <n v="0.9"/>
    <n v="9.1"/>
    <n v="1.5"/>
    <n v="0.1"/>
    <x v="6"/>
    <x v="2"/>
    <n v="75460.929999999993"/>
    <n v="4.0999999999999996"/>
    <n v="4.6900000000000004"/>
  </r>
  <r>
    <s v="PT0040144"/>
    <n v="51"/>
    <x v="1"/>
    <x v="4"/>
    <x v="1"/>
    <n v="6.8"/>
    <n v="5.3"/>
    <n v="5.7"/>
    <n v="0.4"/>
    <n v="6.9"/>
    <x v="3"/>
    <x v="2"/>
    <n v="12084.45"/>
    <n v="3.3"/>
    <n v="5.54"/>
  </r>
  <r>
    <s v="PT0040258"/>
    <n v="21"/>
    <x v="1"/>
    <x v="4"/>
    <x v="1"/>
    <n v="8.8000000000000007"/>
    <n v="4.8"/>
    <n v="9.9"/>
    <n v="3.3"/>
    <n v="4.7"/>
    <x v="4"/>
    <x v="2"/>
    <n v="50185.55"/>
    <n v="2.2999999999999998"/>
    <n v="5.62"/>
  </r>
  <r>
    <s v="PT0040706"/>
    <n v="89"/>
    <x v="0"/>
    <x v="0"/>
    <x v="1"/>
    <n v="5.5941176470588214"/>
    <n v="1.7"/>
    <n v="2"/>
    <n v="3.6"/>
    <n v="2.7"/>
    <x v="2"/>
    <x v="2"/>
    <n v="62316.54"/>
    <n v="7.7"/>
    <n v="4.04"/>
  </r>
  <r>
    <s v="PT0040970"/>
    <n v="88"/>
    <x v="0"/>
    <x v="5"/>
    <x v="1"/>
    <n v="1.8"/>
    <n v="7"/>
    <n v="5.9"/>
    <n v="3.1"/>
    <n v="5.0933333333333337"/>
    <x v="0"/>
    <x v="2"/>
    <n v="63957.06"/>
    <n v="3.2"/>
    <n v="4.58"/>
  </r>
  <r>
    <s v="PT0041340"/>
    <n v="77"/>
    <x v="1"/>
    <x v="1"/>
    <x v="1"/>
    <n v="3.4"/>
    <n v="4.8"/>
    <n v="1.2"/>
    <n v="6.9"/>
    <n v="1.8"/>
    <x v="4"/>
    <x v="2"/>
    <n v="55792.04"/>
    <n v="3.5"/>
    <n v="4.3499999999999996"/>
  </r>
  <r>
    <s v="PT0041443"/>
    <n v="23"/>
    <x v="1"/>
    <x v="5"/>
    <x v="1"/>
    <n v="7.8"/>
    <n v="6.7"/>
    <n v="3.8"/>
    <n v="6.6"/>
    <n v="0.4"/>
    <x v="7"/>
    <x v="2"/>
    <n v="26660.17"/>
    <n v="7.1"/>
    <n v="5.96"/>
  </r>
  <r>
    <s v="PT0041465"/>
    <n v="70"/>
    <x v="3"/>
    <x v="3"/>
    <x v="1"/>
    <n v="8.4"/>
    <n v="4.5999999999999996"/>
    <n v="2.2999999999999998"/>
    <n v="3.8"/>
    <n v="9"/>
    <x v="4"/>
    <x v="2"/>
    <n v="17817.36"/>
    <n v="9.9"/>
    <n v="5.43"/>
  </r>
  <r>
    <s v="PT0041478"/>
    <n v="70"/>
    <x v="1"/>
    <x v="5"/>
    <x v="1"/>
    <n v="9.5"/>
    <n v="4.3"/>
    <n v="0.8"/>
    <n v="7.5"/>
    <n v="0.2"/>
    <x v="3"/>
    <x v="2"/>
    <n v="71931.69"/>
    <n v="4.7"/>
    <n v="4.75"/>
  </r>
  <r>
    <s v="PT0041789"/>
    <n v="68"/>
    <x v="0"/>
    <x v="2"/>
    <x v="1"/>
    <n v="6.9"/>
    <n v="4.9000000000000004"/>
    <n v="4"/>
    <n v="0.7"/>
    <n v="2"/>
    <x v="8"/>
    <x v="2"/>
    <n v="47740.04"/>
    <n v="0.4"/>
    <n v="4.0999999999999996"/>
  </r>
  <r>
    <s v="PT0041843"/>
    <n v="33"/>
    <x v="0"/>
    <x v="3"/>
    <x v="1"/>
    <n v="3.2"/>
    <n v="4.5"/>
    <n v="9.8000000000000007"/>
    <n v="8.1999999999999993"/>
    <n v="3.5"/>
    <x v="4"/>
    <x v="2"/>
    <n v="73055.460000000006"/>
    <n v="4.4000000000000004"/>
    <n v="5.31"/>
  </r>
  <r>
    <s v="PT0041953"/>
    <n v="57"/>
    <x v="1"/>
    <x v="8"/>
    <x v="1"/>
    <n v="7.1"/>
    <n v="9.3000000000000007"/>
    <n v="1.2"/>
    <n v="5.3"/>
    <n v="8.5"/>
    <x v="8"/>
    <x v="1"/>
    <n v="11839.59"/>
    <n v="6.9"/>
    <n v="6.67"/>
  </r>
  <r>
    <s v="PT0041954"/>
    <n v="78"/>
    <x v="3"/>
    <x v="9"/>
    <x v="1"/>
    <n v="7.6"/>
    <n v="8.5"/>
    <n v="1.9"/>
    <n v="9.6"/>
    <n v="3"/>
    <x v="8"/>
    <x v="1"/>
    <n v="58819.89"/>
    <n v="9.1"/>
    <n v="6.12"/>
  </r>
  <r>
    <s v="PT0041973"/>
    <n v="64"/>
    <x v="2"/>
    <x v="8"/>
    <x v="1"/>
    <n v="8"/>
    <n v="9.4"/>
    <n v="3.1"/>
    <n v="2.6"/>
    <n v="8.6999999999999993"/>
    <x v="6"/>
    <x v="3"/>
    <n v="53556.06"/>
    <n v="1.8"/>
    <n v="33.17"/>
  </r>
  <r>
    <s v="PT0041981"/>
    <n v="35"/>
    <x v="3"/>
    <x v="3"/>
    <x v="1"/>
    <n v="2.9"/>
    <n v="3.5"/>
    <n v="8"/>
    <n v="2.8"/>
    <n v="9"/>
    <x v="6"/>
    <x v="2"/>
    <n v="66395.91"/>
    <n v="4"/>
    <n v="4.4400000000000004"/>
  </r>
  <r>
    <s v="PT0042292"/>
    <n v="69"/>
    <x v="1"/>
    <x v="9"/>
    <x v="1"/>
    <n v="1.3"/>
    <n v="3.7"/>
    <n v="7.1"/>
    <n v="9.5"/>
    <n v="4.9000000000000004"/>
    <x v="1"/>
    <x v="2"/>
    <n v="58146.01"/>
    <n v="8.9"/>
    <n v="5.1100000000000003"/>
  </r>
  <r>
    <s v="PT0043250"/>
    <n v="28"/>
    <x v="3"/>
    <x v="0"/>
    <x v="1"/>
    <n v="1.4"/>
    <n v="1.4"/>
    <n v="7.9"/>
    <n v="7.5"/>
    <n v="2.4"/>
    <x v="8"/>
    <x v="2"/>
    <n v="54818.13"/>
    <n v="6.5"/>
    <n v="4.3600000000000003"/>
  </r>
  <r>
    <s v="PT0043793"/>
    <n v="22"/>
    <x v="0"/>
    <x v="6"/>
    <x v="1"/>
    <n v="5.3"/>
    <n v="4.8"/>
    <n v="2.9"/>
    <n v="6.9"/>
    <n v="5.3"/>
    <x v="1"/>
    <x v="2"/>
    <n v="67452.72"/>
    <n v="3.6"/>
    <n v="4.91"/>
  </r>
  <r>
    <s v="PT0043811"/>
    <n v="38"/>
    <x v="0"/>
    <x v="0"/>
    <x v="1"/>
    <n v="1"/>
    <n v="6.9"/>
    <n v="6.4"/>
    <n v="7.8"/>
    <n v="0.1"/>
    <x v="3"/>
    <x v="2"/>
    <n v="17298.53"/>
    <n v="2.6"/>
    <n v="5.42"/>
  </r>
  <r>
    <s v="PT0043906"/>
    <n v="56"/>
    <x v="0"/>
    <x v="4"/>
    <x v="1"/>
    <n v="0.8"/>
    <n v="6.2"/>
    <n v="3.9"/>
    <n v="0"/>
    <n v="4.0203007518796996"/>
    <x v="3"/>
    <x v="0"/>
    <n v="79657.69"/>
    <n v="6.1"/>
    <n v="2.79"/>
  </r>
  <r>
    <s v="PT0044209"/>
    <n v="77"/>
    <x v="1"/>
    <x v="4"/>
    <x v="1"/>
    <n v="0.2"/>
    <n v="3.5"/>
    <n v="8.9"/>
    <n v="3.7888888888888896"/>
    <n v="4.8"/>
    <x v="6"/>
    <x v="0"/>
    <n v="58384.38"/>
    <n v="4.9000000000000004"/>
    <n v="3.77"/>
  </r>
  <r>
    <s v="PT0044269"/>
    <n v="69"/>
    <x v="3"/>
    <x v="1"/>
    <x v="1"/>
    <n v="5.4"/>
    <n v="6.6"/>
    <n v="4.5999999999999996"/>
    <n v="6.8"/>
    <n v="4.1906832298136658"/>
    <x v="2"/>
    <x v="2"/>
    <n v="59507.92"/>
    <n v="8.9"/>
    <n v="5.44"/>
  </r>
  <r>
    <s v="PT0045267"/>
    <n v="87"/>
    <x v="1"/>
    <x v="8"/>
    <x v="1"/>
    <n v="2.4"/>
    <n v="3.1"/>
    <n v="7.7"/>
    <n v="4.5549999999999988"/>
    <n v="6.9"/>
    <x v="6"/>
    <x v="2"/>
    <n v="35406.300000000003"/>
    <n v="7"/>
    <n v="5"/>
  </r>
  <r>
    <s v="PT0045317"/>
    <n v="73"/>
    <x v="1"/>
    <x v="9"/>
    <x v="1"/>
    <n v="7.9"/>
    <n v="0"/>
    <n v="8"/>
    <n v="6.2"/>
    <n v="7.7"/>
    <x v="8"/>
    <x v="2"/>
    <n v="74418.67"/>
    <n v="0.4"/>
    <n v="5.3"/>
  </r>
  <r>
    <s v="PT0045404"/>
    <n v="41"/>
    <x v="1"/>
    <x v="3"/>
    <x v="1"/>
    <n v="5"/>
    <n v="1.8"/>
    <n v="0.3"/>
    <n v="7.9"/>
    <n v="0.1"/>
    <x v="1"/>
    <x v="2"/>
    <n v="34663.19"/>
    <n v="7.7"/>
    <n v="4.21"/>
  </r>
  <r>
    <s v="PT0045530"/>
    <n v="41"/>
    <x v="3"/>
    <x v="8"/>
    <x v="1"/>
    <n v="2.4"/>
    <n v="5.7"/>
    <n v="0.7"/>
    <n v="0"/>
    <n v="1.1000000000000001"/>
    <x v="6"/>
    <x v="0"/>
    <n v="69244.44"/>
    <n v="1.9"/>
    <n v="2.17"/>
  </r>
  <r>
    <s v="PT0046243"/>
    <n v="25"/>
    <x v="1"/>
    <x v="7"/>
    <x v="1"/>
    <n v="9.6999999999999993"/>
    <n v="7.9"/>
    <n v="1.6"/>
    <n v="8.6999999999999993"/>
    <n v="6.3"/>
    <x v="5"/>
    <x v="1"/>
    <n v="76977.31"/>
    <n v="0.6"/>
    <n v="6.2"/>
  </r>
  <r>
    <s v="PT0046769"/>
    <n v="58"/>
    <x v="3"/>
    <x v="0"/>
    <x v="1"/>
    <n v="4"/>
    <n v="5.8"/>
    <n v="4.7"/>
    <n v="1.2"/>
    <n v="6.7"/>
    <x v="1"/>
    <x v="2"/>
    <n v="48537.42"/>
    <n v="2.2999999999999998"/>
    <n v="4.3099999999999996"/>
  </r>
  <r>
    <s v="PT0047650"/>
    <n v="20"/>
    <x v="0"/>
    <x v="5"/>
    <x v="1"/>
    <n v="4.8"/>
    <n v="9.4"/>
    <n v="0.9"/>
    <n v="0.9"/>
    <n v="2"/>
    <x v="3"/>
    <x v="0"/>
    <n v="60587.18"/>
    <n v="6.4"/>
    <n v="3.67"/>
  </r>
  <r>
    <s v="PT0047812"/>
    <n v="85"/>
    <x v="3"/>
    <x v="2"/>
    <x v="1"/>
    <n v="9.9"/>
    <n v="9.1"/>
    <n v="4.9000000000000004"/>
    <n v="5.3"/>
    <n v="9.3000000000000007"/>
    <x v="2"/>
    <x v="1"/>
    <n v="79569.61"/>
    <n v="1.6"/>
    <n v="6.48"/>
  </r>
  <r>
    <s v="PT0047923"/>
    <n v="77"/>
    <x v="2"/>
    <x v="0"/>
    <x v="1"/>
    <n v="4.5999999999999996"/>
    <n v="5.5"/>
    <n v="4.3"/>
    <n v="3.2"/>
    <n v="1.3"/>
    <x v="2"/>
    <x v="2"/>
    <n v="19140.37"/>
    <n v="4.8"/>
    <n v="4.78"/>
  </r>
  <r>
    <s v="PT0047931"/>
    <n v="39"/>
    <x v="0"/>
    <x v="0"/>
    <x v="1"/>
    <n v="3.4"/>
    <n v="6.7"/>
    <n v="0.7"/>
    <n v="9.1"/>
    <n v="3.7"/>
    <x v="1"/>
    <x v="2"/>
    <n v="79379.509999999995"/>
    <n v="7"/>
    <n v="4.3899999999999997"/>
  </r>
  <r>
    <s v="PT0006792"/>
    <n v="33"/>
    <x v="3"/>
    <x v="4"/>
    <x v="2"/>
    <n v="9.1"/>
    <n v="7.5"/>
    <n v="4.6630769230769245"/>
    <n v="7.5"/>
    <n v="7"/>
    <x v="6"/>
    <x v="1"/>
    <n v="22899.65"/>
    <n v="7"/>
    <n v="7.14"/>
  </r>
  <r>
    <s v="PT0008067"/>
    <n v="51"/>
    <x v="0"/>
    <x v="3"/>
    <x v="2"/>
    <n v="0.6"/>
    <n v="9.6999999999999993"/>
    <n v="0.8"/>
    <n v="5.0420382165605098"/>
    <n v="4.1580645161290306"/>
    <x v="3"/>
    <x v="0"/>
    <n v="76197.009999999995"/>
    <n v="4.2"/>
    <n v="3.16"/>
  </r>
  <r>
    <s v="PT0008867"/>
    <n v="29"/>
    <x v="2"/>
    <x v="6"/>
    <x v="2"/>
    <n v="10.85"/>
    <n v="3.5"/>
    <n v="7.1"/>
    <n v="2.2000000000000002"/>
    <n v="3.6"/>
    <x v="7"/>
    <x v="0"/>
    <n v="94485.75"/>
    <n v="1.8"/>
    <n v="3.3"/>
  </r>
  <r>
    <s v="PT0009519"/>
    <n v="23"/>
    <x v="3"/>
    <x v="9"/>
    <x v="2"/>
    <n v="1.6"/>
    <n v="0.5"/>
    <n v="3.5"/>
    <n v="4.5999999999999996"/>
    <n v="7.8"/>
    <x v="3"/>
    <x v="0"/>
    <n v="66140.429999999993"/>
    <n v="6.8"/>
    <n v="3.3"/>
  </r>
  <r>
    <s v="PT0009578"/>
    <n v="47"/>
    <x v="0"/>
    <x v="7"/>
    <x v="2"/>
    <n v="7.7"/>
    <n v="0.9"/>
    <n v="3"/>
    <n v="6.5"/>
    <n v="5.9"/>
    <x v="3"/>
    <x v="2"/>
    <n v="51804.21"/>
    <n v="3.8"/>
    <n v="4.9800000000000004"/>
  </r>
  <r>
    <s v="PT0009788"/>
    <n v="82"/>
    <x v="0"/>
    <x v="4"/>
    <x v="2"/>
    <n v="6.3"/>
    <n v="6.4"/>
    <n v="3.8"/>
    <n v="8.1999999999999993"/>
    <n v="2.1"/>
    <x v="6"/>
    <x v="1"/>
    <n v="23446.240000000002"/>
    <n v="8.1999999999999993"/>
    <n v="6.17"/>
  </r>
  <r>
    <s v="PT0009964"/>
    <n v="76"/>
    <x v="0"/>
    <x v="3"/>
    <x v="2"/>
    <n v="0.7"/>
    <n v="5.5"/>
    <n v="7.7"/>
    <n v="8.1"/>
    <n v="1.3"/>
    <x v="6"/>
    <x v="2"/>
    <n v="38236.050000000003"/>
    <n v="4"/>
    <n v="5.1100000000000003"/>
  </r>
  <r>
    <s v="PT0010207"/>
    <n v="45"/>
    <x v="0"/>
    <x v="5"/>
    <x v="2"/>
    <n v="6"/>
    <n v="5.7"/>
    <n v="3.2"/>
    <n v="1.2"/>
    <n v="6.3"/>
    <x v="4"/>
    <x v="0"/>
    <n v="89146.62"/>
    <n v="6.1"/>
    <n v="3.62"/>
  </r>
  <r>
    <s v="PT0010482"/>
    <n v="24"/>
    <x v="0"/>
    <x v="6"/>
    <x v="2"/>
    <n v="6.7"/>
    <n v="6.2"/>
    <n v="0.5"/>
    <n v="3.9"/>
    <n v="9.4"/>
    <x v="0"/>
    <x v="2"/>
    <n v="23864.53"/>
    <n v="6.2"/>
    <n v="5.59"/>
  </r>
  <r>
    <s v="PT0010978"/>
    <n v="50"/>
    <x v="0"/>
    <x v="0"/>
    <x v="2"/>
    <n v="9.1999999999999993"/>
    <n v="8.1999999999999993"/>
    <n v="4.5"/>
    <n v="0.8"/>
    <n v="8.8000000000000007"/>
    <x v="4"/>
    <x v="2"/>
    <n v="46714.31"/>
    <n v="2.6"/>
    <n v="5.85"/>
  </r>
  <r>
    <s v="PT0011075"/>
    <n v="42"/>
    <x v="0"/>
    <x v="6"/>
    <x v="2"/>
    <n v="1"/>
    <n v="8.1999999999999993"/>
    <n v="0.4"/>
    <n v="8.9"/>
    <n v="0.6"/>
    <x v="8"/>
    <x v="3"/>
    <n v="93205.45"/>
    <n v="5.7"/>
    <n v="19.82"/>
  </r>
  <r>
    <s v="PT0011111"/>
    <n v="50"/>
    <x v="0"/>
    <x v="1"/>
    <x v="2"/>
    <n v="0.9"/>
    <n v="1.2"/>
    <n v="4.5"/>
    <n v="7.3"/>
    <n v="1"/>
    <x v="4"/>
    <x v="2"/>
    <n v="8993.81"/>
    <n v="3.3"/>
    <n v="4.42"/>
  </r>
  <r>
    <s v="PT0011287"/>
    <n v="30"/>
    <x v="3"/>
    <x v="1"/>
    <x v="2"/>
    <n v="6.3"/>
    <n v="8"/>
    <n v="7.6"/>
    <n v="6.2"/>
    <n v="2.5"/>
    <x v="6"/>
    <x v="1"/>
    <n v="23062.07"/>
    <n v="1.8"/>
    <n v="6.63"/>
  </r>
  <r>
    <s v="PT0011480"/>
    <n v="67"/>
    <x v="0"/>
    <x v="4"/>
    <x v="2"/>
    <n v="5.7"/>
    <n v="5.0999999999999996"/>
    <n v="7.4"/>
    <n v="2.2000000000000002"/>
    <n v="7"/>
    <x v="3"/>
    <x v="1"/>
    <n v="13404.04"/>
    <n v="6.1"/>
    <n v="6.07"/>
  </r>
  <r>
    <s v="PT0011508"/>
    <n v="74"/>
    <x v="3"/>
    <x v="5"/>
    <x v="2"/>
    <n v="6.3"/>
    <n v="4.8"/>
    <n v="4.9000000000000004"/>
    <n v="9.1"/>
    <n v="1.2"/>
    <x v="3"/>
    <x v="2"/>
    <n v="65768.34"/>
    <n v="7.4"/>
    <n v="5.34"/>
  </r>
  <r>
    <s v="PT0011735"/>
    <n v="33"/>
    <x v="1"/>
    <x v="8"/>
    <x v="2"/>
    <n v="4.8"/>
    <n v="9.6"/>
    <n v="3"/>
    <n v="2.2999999999999998"/>
    <n v="4.8"/>
    <x v="4"/>
    <x v="2"/>
    <n v="93182.85"/>
    <n v="8.1"/>
    <n v="4.17"/>
  </r>
  <r>
    <s v="PT0011848"/>
    <n v="54"/>
    <x v="0"/>
    <x v="2"/>
    <x v="2"/>
    <n v="5"/>
    <n v="0.8"/>
    <n v="7.7"/>
    <n v="3.4"/>
    <n v="4"/>
    <x v="2"/>
    <x v="2"/>
    <n v="32778.75"/>
    <n v="4.7"/>
    <n v="4.7"/>
  </r>
  <r>
    <s v="PT0011946"/>
    <n v="60"/>
    <x v="0"/>
    <x v="8"/>
    <x v="2"/>
    <n v="8.6999999999999993"/>
    <n v="5.4"/>
    <n v="0.2"/>
    <n v="2.2000000000000002"/>
    <n v="1.7"/>
    <x v="2"/>
    <x v="2"/>
    <n v="46587.22"/>
    <n v="9.6"/>
    <n v="4.09"/>
  </r>
  <r>
    <s v="PT0012259"/>
    <n v="23"/>
    <x v="3"/>
    <x v="3"/>
    <x v="2"/>
    <n v="5"/>
    <n v="4.9000000000000004"/>
    <n v="1.7"/>
    <n v="6.9"/>
    <n v="2.7"/>
    <x v="1"/>
    <x v="2"/>
    <n v="78527.83"/>
    <n v="9.8000000000000007"/>
    <n v="4.55"/>
  </r>
  <r>
    <s v="PT0012343"/>
    <n v="49"/>
    <x v="0"/>
    <x v="1"/>
    <x v="2"/>
    <n v="9.6999999999999993"/>
    <n v="2.1"/>
    <n v="4.7422818791946328"/>
    <n v="1.4"/>
    <n v="3.8"/>
    <x v="6"/>
    <x v="0"/>
    <n v="87021.56"/>
    <n v="4.3"/>
    <n v="3.68"/>
  </r>
  <r>
    <s v="PT0012611"/>
    <n v="40"/>
    <x v="2"/>
    <x v="3"/>
    <x v="2"/>
    <n v="4"/>
    <n v="8.4"/>
    <n v="4.2"/>
    <n v="8.6"/>
    <n v="2.1"/>
    <x v="1"/>
    <x v="2"/>
    <n v="89295.07"/>
    <n v="7.6"/>
    <n v="4.83"/>
  </r>
  <r>
    <s v="PT0012912"/>
    <n v="54"/>
    <x v="1"/>
    <x v="7"/>
    <x v="2"/>
    <n v="1.6"/>
    <n v="8.3000000000000007"/>
    <n v="4.5999999999999996"/>
    <n v="1.1000000000000001"/>
    <n v="3.6"/>
    <x v="2"/>
    <x v="0"/>
    <n v="99116.71"/>
    <n v="1.8"/>
    <n v="2.85"/>
  </r>
  <r>
    <s v="PT0012945"/>
    <n v="63"/>
    <x v="3"/>
    <x v="1"/>
    <x v="2"/>
    <n v="0.9"/>
    <n v="2.1"/>
    <n v="6.8"/>
    <n v="7.4"/>
    <n v="9.4"/>
    <x v="7"/>
    <x v="2"/>
    <n v="92584.86"/>
    <n v="2.9"/>
    <n v="4.08"/>
  </r>
  <r>
    <s v="PT0013073"/>
    <n v="38"/>
    <x v="1"/>
    <x v="2"/>
    <x v="2"/>
    <n v="7.8"/>
    <n v="9.4"/>
    <n v="1.7"/>
    <n v="0.9"/>
    <n v="9.5"/>
    <x v="8"/>
    <x v="2"/>
    <n v="82680.06"/>
    <n v="1.1000000000000001"/>
    <n v="4.7"/>
  </r>
  <r>
    <s v="PT0013121"/>
    <n v="72"/>
    <x v="3"/>
    <x v="8"/>
    <x v="2"/>
    <n v="0.1"/>
    <n v="4.5999999999999996"/>
    <n v="9.8000000000000007"/>
    <n v="4.3"/>
    <n v="4.0238636363636378"/>
    <x v="5"/>
    <x v="3"/>
    <n v="47995.21"/>
    <n v="0.5"/>
    <n v="24.41"/>
  </r>
  <r>
    <s v="PT0013211"/>
    <n v="20"/>
    <x v="1"/>
    <x v="0"/>
    <x v="2"/>
    <n v="4.9000000000000004"/>
    <n v="3.7"/>
    <n v="9.8000000000000007"/>
    <n v="2.8"/>
    <n v="1.9"/>
    <x v="0"/>
    <x v="2"/>
    <n v="75949.91"/>
    <n v="8.1"/>
    <n v="4.24"/>
  </r>
  <r>
    <s v="PT0013550"/>
    <n v="66"/>
    <x v="1"/>
    <x v="0"/>
    <x v="2"/>
    <n v="4.0999999999999996"/>
    <n v="8.6999999999999993"/>
    <n v="4.3"/>
    <n v="1.4"/>
    <n v="7.2"/>
    <x v="3"/>
    <x v="0"/>
    <n v="99709.77"/>
    <n v="8"/>
    <n v="3.78"/>
  </r>
  <r>
    <s v="PT0013722"/>
    <n v="88"/>
    <x v="0"/>
    <x v="5"/>
    <x v="2"/>
    <n v="6.3"/>
    <n v="5.7"/>
    <n v="5.9"/>
    <n v="5.5"/>
    <n v="8.8000000000000007"/>
    <x v="7"/>
    <x v="1"/>
    <n v="12383.08"/>
    <n v="5.3"/>
    <n v="6.73"/>
  </r>
  <r>
    <s v="PT0014083"/>
    <n v="75"/>
    <x v="1"/>
    <x v="4"/>
    <x v="2"/>
    <n v="2.1"/>
    <n v="0.6"/>
    <n v="2.6"/>
    <n v="5.8"/>
    <n v="8.1"/>
    <x v="1"/>
    <x v="0"/>
    <n v="44650.57"/>
    <n v="0.3"/>
    <n v="3.98"/>
  </r>
  <r>
    <s v="PT0014378"/>
    <n v="77"/>
    <x v="0"/>
    <x v="5"/>
    <x v="2"/>
    <n v="6.2"/>
    <n v="7.5"/>
    <n v="8.3000000000000007"/>
    <n v="1.2"/>
    <n v="9.8000000000000007"/>
    <x v="8"/>
    <x v="2"/>
    <n v="78238.86"/>
    <n v="7.6"/>
    <n v="5.27"/>
  </r>
  <r>
    <s v="PT0014587"/>
    <n v="28"/>
    <x v="0"/>
    <x v="4"/>
    <x v="2"/>
    <n v="4.0999999999999996"/>
    <n v="1"/>
    <n v="9.6"/>
    <n v="2.7"/>
    <n v="0.1"/>
    <x v="8"/>
    <x v="0"/>
    <n v="88218.13"/>
    <n v="6.8"/>
    <n v="3.2"/>
  </r>
  <r>
    <s v="PT0014659"/>
    <n v="64"/>
    <x v="3"/>
    <x v="2"/>
    <x v="2"/>
    <n v="3.1"/>
    <n v="3.5"/>
    <n v="6.1"/>
    <n v="4.5999999999999996"/>
    <n v="8.3000000000000007"/>
    <x v="4"/>
    <x v="2"/>
    <n v="21815.69"/>
    <n v="7.7"/>
    <n v="5.37"/>
  </r>
  <r>
    <s v="PT0015156"/>
    <n v="84"/>
    <x v="1"/>
    <x v="5"/>
    <x v="2"/>
    <n v="5.8"/>
    <n v="1.7"/>
    <n v="1"/>
    <n v="6.8"/>
    <n v="6.7"/>
    <x v="7"/>
    <x v="2"/>
    <n v="60393.29"/>
    <n v="0.5"/>
    <n v="4.3899999999999997"/>
  </r>
  <r>
    <s v="PT0015272"/>
    <n v="47"/>
    <x v="3"/>
    <x v="5"/>
    <x v="2"/>
    <n v="0.2"/>
    <n v="5.6"/>
    <n v="6.5"/>
    <n v="9.4"/>
    <n v="6.1"/>
    <x v="6"/>
    <x v="2"/>
    <n v="34339.19"/>
    <n v="4.4000000000000004"/>
    <n v="5.66"/>
  </r>
  <r>
    <s v="PT0015694"/>
    <n v="55"/>
    <x v="1"/>
    <x v="1"/>
    <x v="2"/>
    <n v="5.0733333333333315"/>
    <n v="3.4"/>
    <n v="8"/>
    <n v="1.3"/>
    <n v="2.7"/>
    <x v="6"/>
    <x v="2"/>
    <n v="59117.17"/>
    <n v="7"/>
    <n v="4.18"/>
  </r>
  <r>
    <s v="PT0015735"/>
    <n v="37"/>
    <x v="0"/>
    <x v="9"/>
    <x v="2"/>
    <n v="4.0999999999999996"/>
    <n v="7.7"/>
    <n v="6.7"/>
    <n v="7.4"/>
    <n v="4.8"/>
    <x v="8"/>
    <x v="1"/>
    <n v="44849.33"/>
    <n v="1.5"/>
    <n v="6.04"/>
  </r>
  <r>
    <s v="PT0016162"/>
    <n v="53"/>
    <x v="1"/>
    <x v="9"/>
    <x v="2"/>
    <n v="0.5"/>
    <n v="0.8"/>
    <n v="5.2"/>
    <n v="8.1"/>
    <n v="2.6"/>
    <x v="1"/>
    <x v="0"/>
    <n v="87542.18"/>
    <n v="4.0999999999999996"/>
    <n v="3.13"/>
  </r>
  <r>
    <s v="PT0016619"/>
    <n v="27"/>
    <x v="1"/>
    <x v="6"/>
    <x v="2"/>
    <n v="6.6"/>
    <n v="6.5"/>
    <n v="4.7704081632653095"/>
    <n v="8.6999999999999993"/>
    <n v="0.1"/>
    <x v="0"/>
    <x v="2"/>
    <n v="70822.7"/>
    <n v="9.1999999999999993"/>
    <n v="5.92"/>
  </r>
  <r>
    <s v="PT0016782"/>
    <n v="62"/>
    <x v="2"/>
    <x v="2"/>
    <x v="2"/>
    <n v="0.6"/>
    <n v="3.5"/>
    <n v="4.6735632183908082"/>
    <n v="0.5"/>
    <n v="4.0238636363636378"/>
    <x v="4"/>
    <x v="0"/>
    <n v="92262.31"/>
    <n v="4.0999999999999996"/>
    <n v="2.33"/>
  </r>
  <r>
    <s v="PT0016835"/>
    <n v="55"/>
    <x v="1"/>
    <x v="4"/>
    <x v="2"/>
    <n v="5.2464968152866263"/>
    <n v="1.7"/>
    <n v="1.7"/>
    <n v="5.0420382165605098"/>
    <n v="8.3000000000000007"/>
    <x v="2"/>
    <x v="2"/>
    <n v="45620.84"/>
    <n v="4.4000000000000004"/>
    <n v="4.3899999999999997"/>
  </r>
  <r>
    <s v="PT0017191"/>
    <n v="42"/>
    <x v="0"/>
    <x v="0"/>
    <x v="2"/>
    <n v="2.1"/>
    <n v="7.5"/>
    <n v="5.5"/>
    <n v="5.3"/>
    <n v="7.3"/>
    <x v="2"/>
    <x v="2"/>
    <n v="24342.06"/>
    <n v="7.8"/>
    <n v="5.67"/>
  </r>
  <r>
    <s v="PT0017682"/>
    <n v="30"/>
    <x v="0"/>
    <x v="6"/>
    <x v="2"/>
    <n v="5.4"/>
    <n v="0.8"/>
    <n v="4.5"/>
    <n v="8.9"/>
    <n v="9.6999999999999993"/>
    <x v="7"/>
    <x v="2"/>
    <n v="87891.34"/>
    <n v="4.8"/>
    <n v="4.87"/>
  </r>
  <r>
    <s v="PT0017716"/>
    <n v="39"/>
    <x v="0"/>
    <x v="0"/>
    <x v="2"/>
    <n v="0.7"/>
    <n v="4.3"/>
    <n v="9.8000000000000007"/>
    <n v="8.8000000000000007"/>
    <n v="8.9"/>
    <x v="1"/>
    <x v="1"/>
    <n v="31086.5"/>
    <n v="6.1"/>
    <n v="6.28"/>
  </r>
  <r>
    <s v="PT0017946"/>
    <n v="87"/>
    <x v="3"/>
    <x v="6"/>
    <x v="2"/>
    <n v="4.9000000000000004"/>
    <n v="5.3"/>
    <n v="3.8"/>
    <n v="6.3"/>
    <n v="0.4"/>
    <x v="5"/>
    <x v="2"/>
    <n v="51049"/>
    <n v="6.3"/>
    <n v="4.54"/>
  </r>
  <r>
    <s v="PT0018004"/>
    <n v="30"/>
    <x v="1"/>
    <x v="8"/>
    <x v="2"/>
    <n v="1.4"/>
    <n v="3.8"/>
    <n v="1.8"/>
    <n v="0.1"/>
    <n v="3.9"/>
    <x v="0"/>
    <x v="0"/>
    <n v="53251.5"/>
    <n v="5.7"/>
    <n v="2.46"/>
  </r>
  <r>
    <s v="PT0018094"/>
    <n v="31"/>
    <x v="0"/>
    <x v="5"/>
    <x v="2"/>
    <n v="4.7"/>
    <n v="0.5"/>
    <n v="4"/>
    <n v="8"/>
    <n v="7.2"/>
    <x v="0"/>
    <x v="2"/>
    <n v="77439.539999999994"/>
    <n v="7"/>
    <n v="4.3899999999999997"/>
  </r>
  <r>
    <s v="PT0018231"/>
    <n v="30"/>
    <x v="1"/>
    <x v="6"/>
    <x v="2"/>
    <n v="5.0999999999999996"/>
    <n v="7"/>
    <n v="5.3"/>
    <n v="1.1000000000000001"/>
    <n v="8.1999999999999993"/>
    <x v="2"/>
    <x v="2"/>
    <n v="77012.490000000005"/>
    <n v="4"/>
    <n v="4.3600000000000003"/>
  </r>
  <r>
    <s v="PT0018363"/>
    <n v="83"/>
    <x v="0"/>
    <x v="8"/>
    <x v="2"/>
    <n v="4.2"/>
    <n v="5.0999999999999996"/>
    <n v="9.6"/>
    <n v="8"/>
    <n v="5.7"/>
    <x v="4"/>
    <x v="2"/>
    <n v="89048.16"/>
    <n v="7.6"/>
    <n v="5.43"/>
  </r>
  <r>
    <s v="PT0018892"/>
    <n v="82"/>
    <x v="1"/>
    <x v="0"/>
    <x v="2"/>
    <n v="8.1999999999999993"/>
    <n v="8.3000000000000007"/>
    <n v="4.0999999999999996"/>
    <n v="9.5"/>
    <n v="1.7"/>
    <x v="4"/>
    <x v="1"/>
    <n v="42444.57"/>
    <n v="10"/>
    <n v="6.72"/>
  </r>
  <r>
    <s v="PT0019088"/>
    <n v="61"/>
    <x v="0"/>
    <x v="1"/>
    <x v="2"/>
    <n v="1.8"/>
    <n v="9"/>
    <n v="8"/>
    <n v="3.2"/>
    <n v="4.7"/>
    <x v="0"/>
    <x v="2"/>
    <n v="18314.259999999998"/>
    <n v="6.5"/>
    <n v="5.65"/>
  </r>
  <r>
    <s v="PT0019316"/>
    <n v="28"/>
    <x v="2"/>
    <x v="0"/>
    <x v="2"/>
    <n v="4.5"/>
    <n v="3.7"/>
    <n v="1.4"/>
    <n v="7"/>
    <n v="7.7"/>
    <x v="1"/>
    <x v="2"/>
    <n v="45451.47"/>
    <n v="7.9"/>
    <n v="4.93"/>
  </r>
  <r>
    <s v="PT0019393"/>
    <n v="63"/>
    <x v="0"/>
    <x v="3"/>
    <x v="2"/>
    <n v="3.2"/>
    <n v="5.6"/>
    <n v="7.2"/>
    <n v="2.2999999999999998"/>
    <n v="4.0999999999999996"/>
    <x v="1"/>
    <x v="2"/>
    <n v="11727.34"/>
    <n v="5.3"/>
    <n v="5.2"/>
  </r>
  <r>
    <s v="PT0019574"/>
    <n v="77"/>
    <x v="0"/>
    <x v="1"/>
    <x v="2"/>
    <n v="6.7"/>
    <n v="5.2"/>
    <n v="2.7"/>
    <n v="2.1"/>
    <n v="3.8"/>
    <x v="3"/>
    <x v="0"/>
    <n v="95826.92"/>
    <n v="7.4"/>
    <n v="3.41"/>
  </r>
  <r>
    <s v="PT0020110"/>
    <n v="44"/>
    <x v="1"/>
    <x v="1"/>
    <x v="2"/>
    <n v="7.1"/>
    <n v="0.9"/>
    <n v="0.5"/>
    <n v="9.4"/>
    <n v="1"/>
    <x v="7"/>
    <x v="2"/>
    <n v="27511.3"/>
    <n v="4.7"/>
    <n v="5.47"/>
  </r>
  <r>
    <s v="PT0020218"/>
    <n v="43"/>
    <x v="0"/>
    <x v="1"/>
    <x v="2"/>
    <n v="4.3"/>
    <n v="5.7"/>
    <n v="3.7"/>
    <n v="7.8"/>
    <n v="7.4"/>
    <x v="2"/>
    <x v="2"/>
    <n v="38916.720000000001"/>
    <n v="7.5"/>
    <n v="5.79"/>
  </r>
  <r>
    <s v="PT0020302"/>
    <n v="37"/>
    <x v="3"/>
    <x v="0"/>
    <x v="2"/>
    <n v="4.3"/>
    <n v="0.8"/>
    <n v="6.3"/>
    <n v="6.2"/>
    <n v="8.9"/>
    <x v="0"/>
    <x v="3"/>
    <n v="20268.05"/>
    <n v="5.5"/>
    <n v="27.25"/>
  </r>
  <r>
    <s v="PT0020688"/>
    <n v="48"/>
    <x v="0"/>
    <x v="5"/>
    <x v="2"/>
    <n v="0.4"/>
    <n v="5.4"/>
    <n v="1.1000000000000001"/>
    <n v="4.2"/>
    <n v="5"/>
    <x v="2"/>
    <x v="2"/>
    <n v="17401.060000000001"/>
    <n v="1.5"/>
    <n v="4.05"/>
  </r>
  <r>
    <s v="PT0020992"/>
    <n v="31"/>
    <x v="0"/>
    <x v="8"/>
    <x v="2"/>
    <n v="6.4"/>
    <n v="1.6"/>
    <n v="9.6999999999999993"/>
    <n v="5.0999999999999996"/>
    <n v="0.7"/>
    <x v="8"/>
    <x v="2"/>
    <n v="16222"/>
    <n v="4.5999999999999996"/>
    <n v="5.74"/>
  </r>
  <r>
    <s v="PT0022028"/>
    <n v="52"/>
    <x v="1"/>
    <x v="3"/>
    <x v="2"/>
    <n v="7.4"/>
    <n v="4"/>
    <n v="7.8"/>
    <n v="0.3"/>
    <n v="4.4000000000000004"/>
    <x v="7"/>
    <x v="2"/>
    <n v="29500.36"/>
    <n v="6.2"/>
    <n v="5.16"/>
  </r>
  <r>
    <s v="PT0022117"/>
    <n v="71"/>
    <x v="1"/>
    <x v="5"/>
    <x v="2"/>
    <n v="8.3000000000000007"/>
    <n v="1.2"/>
    <n v="3.7"/>
    <n v="5.3"/>
    <n v="4.5999999999999996"/>
    <x v="8"/>
    <x v="2"/>
    <n v="28675.1"/>
    <n v="5.4"/>
    <n v="5.34"/>
  </r>
  <r>
    <s v="PT0022236"/>
    <n v="64"/>
    <x v="3"/>
    <x v="6"/>
    <x v="2"/>
    <n v="8.1"/>
    <n v="7.1"/>
    <n v="1.1000000000000001"/>
    <n v="0.4"/>
    <n v="8.1999999999999993"/>
    <x v="4"/>
    <x v="2"/>
    <n v="30018.17"/>
    <n v="7.2"/>
    <n v="5.15"/>
  </r>
  <r>
    <s v="PT0024342"/>
    <n v="82"/>
    <x v="1"/>
    <x v="1"/>
    <x v="2"/>
    <n v="4.2"/>
    <n v="6.1"/>
    <n v="1.4"/>
    <n v="1.8"/>
    <n v="3.7"/>
    <x v="4"/>
    <x v="0"/>
    <n v="87569.81"/>
    <n v="6.6"/>
    <n v="2.94"/>
  </r>
  <r>
    <s v="PT0024410"/>
    <n v="83"/>
    <x v="0"/>
    <x v="3"/>
    <x v="2"/>
    <n v="8.4"/>
    <n v="4.3"/>
    <n v="3.1"/>
    <n v="3.8"/>
    <n v="1.4"/>
    <x v="1"/>
    <x v="2"/>
    <n v="76060.02"/>
    <n v="6.3"/>
    <n v="4.17"/>
  </r>
  <r>
    <s v="PT0024615"/>
    <n v="23"/>
    <x v="3"/>
    <x v="5"/>
    <x v="2"/>
    <n v="0.7"/>
    <n v="3.3"/>
    <n v="0.1"/>
    <n v="2.2999999999999998"/>
    <n v="4.9000000000000004"/>
    <x v="3"/>
    <x v="0"/>
    <n v="48116.31"/>
    <n v="8.3000000000000007"/>
    <n v="2.67"/>
  </r>
  <r>
    <s v="PT0025277"/>
    <n v="56"/>
    <x v="1"/>
    <x v="7"/>
    <x v="2"/>
    <n v="1.1000000000000001"/>
    <n v="1.6"/>
    <n v="0.8"/>
    <n v="6.3"/>
    <n v="7.3"/>
    <x v="2"/>
    <x v="0"/>
    <n v="43298.92"/>
    <n v="4.5"/>
    <n v="3.7"/>
  </r>
  <r>
    <s v="PT0025336"/>
    <n v="80"/>
    <x v="3"/>
    <x v="2"/>
    <x v="2"/>
    <n v="0.5"/>
    <n v="0.4"/>
    <n v="5.2"/>
    <n v="4.7272727272727293"/>
    <n v="6.6"/>
    <x v="3"/>
    <x v="0"/>
    <n v="32827.29"/>
    <n v="0.6"/>
    <n v="3.28"/>
  </r>
  <r>
    <s v="PT0025776"/>
    <n v="45"/>
    <x v="0"/>
    <x v="6"/>
    <x v="2"/>
    <n v="6.6"/>
    <n v="0.1"/>
    <n v="5.9"/>
    <n v="9.9"/>
    <n v="1"/>
    <x v="7"/>
    <x v="2"/>
    <n v="62010.16"/>
    <n v="1.5"/>
    <n v="5.0599999999999996"/>
  </r>
  <r>
    <s v="PT0026190"/>
    <n v="69"/>
    <x v="3"/>
    <x v="9"/>
    <x v="2"/>
    <n v="3.5"/>
    <n v="1"/>
    <n v="7.3"/>
    <n v="6.5"/>
    <n v="8.3000000000000007"/>
    <x v="2"/>
    <x v="2"/>
    <n v="40930.519999999997"/>
    <n v="5.8"/>
    <n v="5.26"/>
  </r>
  <r>
    <s v="PT0026957"/>
    <n v="30"/>
    <x v="1"/>
    <x v="9"/>
    <x v="2"/>
    <n v="4.8"/>
    <n v="3.3"/>
    <n v="6.6"/>
    <n v="4"/>
    <n v="4.3"/>
    <x v="0"/>
    <x v="2"/>
    <n v="7841.58"/>
    <n v="6.8"/>
    <n v="5.52"/>
  </r>
  <r>
    <s v="PT0027728"/>
    <n v="56"/>
    <x v="0"/>
    <x v="6"/>
    <x v="2"/>
    <n v="4.0999999999999996"/>
    <n v="1.8"/>
    <n v="3.2"/>
    <n v="8"/>
    <n v="1"/>
    <x v="8"/>
    <x v="2"/>
    <n v="54992.81"/>
    <n v="0.5"/>
    <n v="4.17"/>
  </r>
  <r>
    <s v="PT0027817"/>
    <n v="54"/>
    <x v="1"/>
    <x v="3"/>
    <x v="2"/>
    <n v="9.8000000000000007"/>
    <n v="2"/>
    <n v="0.5"/>
    <n v="3"/>
    <n v="4.2"/>
    <x v="5"/>
    <x v="0"/>
    <n v="85893.87"/>
    <n v="9.6999999999999993"/>
    <n v="3.64"/>
  </r>
  <r>
    <s v="PT0028277"/>
    <n v="34"/>
    <x v="1"/>
    <x v="6"/>
    <x v="2"/>
    <n v="7.9"/>
    <n v="1.2"/>
    <n v="4.0999999999999996"/>
    <n v="3.6"/>
    <n v="5.9"/>
    <x v="4"/>
    <x v="2"/>
    <n v="19306.080000000002"/>
    <n v="4.5999999999999996"/>
    <n v="5.3"/>
  </r>
  <r>
    <s v="PT0028494"/>
    <n v="57"/>
    <x v="3"/>
    <x v="9"/>
    <x v="2"/>
    <n v="7.3"/>
    <n v="7.7"/>
    <n v="2.7"/>
    <n v="2"/>
    <n v="1"/>
    <x v="0"/>
    <x v="2"/>
    <n v="26427.83"/>
    <n v="3.5"/>
    <n v="4.99"/>
  </r>
  <r>
    <s v="PT0028619"/>
    <n v="66"/>
    <x v="2"/>
    <x v="6"/>
    <x v="2"/>
    <n v="3.3"/>
    <n v="5.0999999999999996"/>
    <n v="9.8000000000000007"/>
    <n v="5.8"/>
    <n v="5.3"/>
    <x v="4"/>
    <x v="2"/>
    <n v="15635.52"/>
    <n v="2.4"/>
    <n v="5.67"/>
  </r>
  <r>
    <s v="PT0028665"/>
    <n v="66"/>
    <x v="3"/>
    <x v="8"/>
    <x v="2"/>
    <n v="8.3000000000000007"/>
    <n v="4.5999999999999996"/>
    <n v="8.6"/>
    <n v="4.2"/>
    <n v="1.6"/>
    <x v="7"/>
    <x v="2"/>
    <n v="62141.66"/>
    <n v="0"/>
    <n v="5.4"/>
  </r>
  <r>
    <s v="PT0028950"/>
    <n v="69"/>
    <x v="3"/>
    <x v="5"/>
    <x v="2"/>
    <n v="2"/>
    <n v="3.7"/>
    <n v="4.2"/>
    <n v="2.7"/>
    <n v="6.9"/>
    <x v="6"/>
    <x v="2"/>
    <n v="13409.27"/>
    <n v="1.2"/>
    <n v="4.55"/>
  </r>
  <r>
    <s v="PT0028977"/>
    <n v="24"/>
    <x v="3"/>
    <x v="8"/>
    <x v="2"/>
    <n v="8.4"/>
    <n v="5.7"/>
    <n v="4.3"/>
    <n v="4.7974358974358999"/>
    <n v="4.0999999999999996"/>
    <x v="3"/>
    <x v="2"/>
    <n v="72041.53"/>
    <n v="1.7"/>
    <n v="4.2300000000000004"/>
  </r>
  <r>
    <s v="PT0029025"/>
    <n v="73"/>
    <x v="0"/>
    <x v="5"/>
    <x v="2"/>
    <n v="10.200000000000001"/>
    <n v="2"/>
    <n v="4.9000000000000004"/>
    <n v="2.8"/>
    <n v="3.4"/>
    <x v="2"/>
    <x v="0"/>
    <n v="51672.31"/>
    <n v="7.1"/>
    <n v="3.4"/>
  </r>
  <r>
    <s v="PT0029185"/>
    <n v="29"/>
    <x v="0"/>
    <x v="8"/>
    <x v="2"/>
    <n v="8.5"/>
    <n v="3.7"/>
    <n v="3.9"/>
    <n v="9.1"/>
    <n v="4.3"/>
    <x v="0"/>
    <x v="2"/>
    <n v="74876.09"/>
    <n v="2.2000000000000002"/>
    <n v="5.59"/>
  </r>
  <r>
    <s v="PT0029229"/>
    <n v="74"/>
    <x v="0"/>
    <x v="3"/>
    <x v="2"/>
    <n v="0.7"/>
    <n v="9.6"/>
    <n v="1.5"/>
    <n v="5.3"/>
    <n v="0.6"/>
    <x v="6"/>
    <x v="0"/>
    <n v="75060.27"/>
    <n v="5"/>
    <n v="3.42"/>
  </r>
  <r>
    <s v="PT0029640"/>
    <n v="80"/>
    <x v="0"/>
    <x v="8"/>
    <x v="2"/>
    <n v="7.9"/>
    <n v="3.7"/>
    <n v="5.0999999999999996"/>
    <n v="9.3000000000000007"/>
    <n v="0.9"/>
    <x v="7"/>
    <x v="3"/>
    <n v="33867.040000000001"/>
    <n v="8.1"/>
    <n v="27.22"/>
  </r>
  <r>
    <s v="PT0030177"/>
    <n v="82"/>
    <x v="3"/>
    <x v="3"/>
    <x v="2"/>
    <n v="8.1999999999999993"/>
    <n v="4.8"/>
    <n v="6.4"/>
    <n v="2.1"/>
    <n v="4.0238636363636378"/>
    <x v="7"/>
    <x v="0"/>
    <n v="95165.06"/>
    <n v="1.7"/>
    <n v="3.89"/>
  </r>
  <r>
    <s v="PT0030189"/>
    <n v="58"/>
    <x v="2"/>
    <x v="3"/>
    <x v="2"/>
    <n v="7.7"/>
    <n v="0.1"/>
    <n v="9.6"/>
    <n v="3.1"/>
    <n v="0.6"/>
    <x v="3"/>
    <x v="2"/>
    <n v="22812.75"/>
    <n v="3.8"/>
    <n v="5.22"/>
  </r>
  <r>
    <s v="PT0030303"/>
    <n v="59"/>
    <x v="0"/>
    <x v="8"/>
    <x v="2"/>
    <n v="3.6"/>
    <n v="2.9"/>
    <n v="3.5"/>
    <n v="8.9"/>
    <n v="7.9"/>
    <x v="7"/>
    <x v="1"/>
    <n v="9008.85"/>
    <n v="9.1"/>
    <n v="6.07"/>
  </r>
  <r>
    <s v="PT0030802"/>
    <n v="46"/>
    <x v="0"/>
    <x v="5"/>
    <x v="2"/>
    <n v="5.7"/>
    <n v="9.4"/>
    <n v="5.6"/>
    <n v="5.3"/>
    <n v="2.2000000000000002"/>
    <x v="0"/>
    <x v="1"/>
    <n v="6941.2"/>
    <n v="7"/>
    <n v="6.53"/>
  </r>
  <r>
    <s v="PT0030923"/>
    <n v="47"/>
    <x v="0"/>
    <x v="2"/>
    <x v="2"/>
    <n v="8.1999999999999993"/>
    <n v="5.0999999999999996"/>
    <n v="0.4"/>
    <n v="9.6"/>
    <n v="0.6"/>
    <x v="1"/>
    <x v="2"/>
    <n v="32570.91"/>
    <n v="4.0999999999999996"/>
    <n v="5.79"/>
  </r>
  <r>
    <s v="PT0031425"/>
    <n v="30"/>
    <x v="3"/>
    <x v="1"/>
    <x v="2"/>
    <n v="6"/>
    <n v="4.9000000000000004"/>
    <n v="6.1"/>
    <n v="4.7"/>
    <n v="6.7"/>
    <x v="7"/>
    <x v="2"/>
    <n v="54035.6"/>
    <n v="6.9"/>
    <n v="5.38"/>
  </r>
  <r>
    <s v="PT0031601"/>
    <n v="36"/>
    <x v="3"/>
    <x v="3"/>
    <x v="2"/>
    <n v="2.7"/>
    <n v="9.5"/>
    <n v="5.6"/>
    <n v="9.8000000000000007"/>
    <n v="7.4"/>
    <x v="3"/>
    <x v="1"/>
    <n v="63110.32"/>
    <n v="6.6"/>
    <n v="6.24"/>
  </r>
  <r>
    <s v="PT0031698"/>
    <n v="36"/>
    <x v="0"/>
    <x v="3"/>
    <x v="2"/>
    <n v="6.8"/>
    <n v="2.5"/>
    <n v="0.1"/>
    <n v="7.6"/>
    <n v="9"/>
    <x v="4"/>
    <x v="2"/>
    <n v="21295.119999999999"/>
    <n v="5.4"/>
    <n v="5.74"/>
  </r>
  <r>
    <s v="PT0031966"/>
    <n v="64"/>
    <x v="1"/>
    <x v="6"/>
    <x v="2"/>
    <n v="0.2"/>
    <n v="7.8"/>
    <n v="4.0999999999999996"/>
    <n v="8.6"/>
    <n v="8.5"/>
    <x v="8"/>
    <x v="2"/>
    <n v="88049.25"/>
    <n v="6.1"/>
    <n v="4.63"/>
  </r>
  <r>
    <s v="PT0032013"/>
    <n v="81"/>
    <x v="1"/>
    <x v="6"/>
    <x v="2"/>
    <n v="5.4"/>
    <n v="5.2"/>
    <n v="6.1"/>
    <n v="3.1"/>
    <n v="8"/>
    <x v="6"/>
    <x v="2"/>
    <n v="47968.17"/>
    <n v="7.7"/>
    <n v="5.58"/>
  </r>
  <r>
    <s v="PT0032031"/>
    <n v="74"/>
    <x v="0"/>
    <x v="1"/>
    <x v="2"/>
    <n v="4.4000000000000004"/>
    <n v="1.5"/>
    <n v="4.7263513513513526"/>
    <n v="8.9"/>
    <n v="7.7"/>
    <x v="0"/>
    <x v="2"/>
    <n v="34799.15"/>
    <n v="4.5999999999999996"/>
    <n v="5.08"/>
  </r>
  <r>
    <s v="PT0032541"/>
    <n v="37"/>
    <x v="2"/>
    <x v="0"/>
    <x v="2"/>
    <n v="5.0999999999999996"/>
    <n v="8.4"/>
    <n v="9.6999999999999993"/>
    <n v="8"/>
    <n v="4.8"/>
    <x v="7"/>
    <x v="1"/>
    <n v="56375.28"/>
    <n v="2.2000000000000002"/>
    <n v="6.76"/>
  </r>
  <r>
    <s v="PT0033019"/>
    <n v="75"/>
    <x v="3"/>
    <x v="6"/>
    <x v="2"/>
    <n v="8.1"/>
    <n v="5.8"/>
    <n v="2.6"/>
    <n v="5.0999999999999996"/>
    <n v="0.7"/>
    <x v="4"/>
    <x v="2"/>
    <n v="49998.31"/>
    <n v="4.5"/>
    <n v="4.97"/>
  </r>
  <r>
    <s v="PT0033102"/>
    <n v="45"/>
    <x v="1"/>
    <x v="5"/>
    <x v="2"/>
    <n v="2.4"/>
    <n v="5.8"/>
    <n v="6.2"/>
    <n v="0.9"/>
    <n v="7.9"/>
    <x v="8"/>
    <x v="0"/>
    <n v="85437.59"/>
    <n v="4.5"/>
    <n v="3.54"/>
  </r>
  <r>
    <s v="PT0033168"/>
    <n v="65"/>
    <x v="0"/>
    <x v="3"/>
    <x v="2"/>
    <n v="3"/>
    <n v="5"/>
    <n v="8.8000000000000007"/>
    <n v="1.3"/>
    <n v="9.3000000000000007"/>
    <x v="1"/>
    <x v="2"/>
    <n v="29099.39"/>
    <n v="8.3000000000000007"/>
    <n v="5.28"/>
  </r>
  <r>
    <s v="PT0033234"/>
    <n v="72"/>
    <x v="0"/>
    <x v="0"/>
    <x v="2"/>
    <n v="7.8"/>
    <n v="5.0999999999999996"/>
    <n v="5.9"/>
    <n v="3.4"/>
    <n v="4.7"/>
    <x v="1"/>
    <x v="2"/>
    <n v="72526.740000000005"/>
    <n v="4.5999999999999996"/>
    <n v="4.41"/>
  </r>
  <r>
    <s v="PT0033559"/>
    <n v="68"/>
    <x v="3"/>
    <x v="1"/>
    <x v="2"/>
    <n v="9.5"/>
    <n v="8.4"/>
    <n v="1.6"/>
    <n v="1.1000000000000001"/>
    <n v="8.8000000000000007"/>
    <x v="8"/>
    <x v="2"/>
    <n v="57079.58"/>
    <n v="9.1999999999999993"/>
    <n v="5.36"/>
  </r>
  <r>
    <s v="PT0033562"/>
    <n v="71"/>
    <x v="1"/>
    <x v="2"/>
    <x v="2"/>
    <n v="4"/>
    <n v="3.6"/>
    <n v="4.6629032258064536"/>
    <n v="8.9"/>
    <n v="3"/>
    <x v="0"/>
    <x v="2"/>
    <n v="59719.16"/>
    <n v="7.4"/>
    <n v="4.74"/>
  </r>
  <r>
    <s v="PT0033570"/>
    <n v="39"/>
    <x v="3"/>
    <x v="0"/>
    <x v="2"/>
    <n v="4.5999999999999996"/>
    <n v="2.2000000000000002"/>
    <n v="3.6"/>
    <n v="8.4"/>
    <n v="3.8"/>
    <x v="8"/>
    <x v="2"/>
    <n v="40561.22"/>
    <n v="7.7"/>
    <n v="4.3"/>
  </r>
  <r>
    <s v="PT0033575"/>
    <n v="67"/>
    <x v="3"/>
    <x v="4"/>
    <x v="2"/>
    <n v="1.7"/>
    <n v="9.8000000000000007"/>
    <n v="4.5355932203389822"/>
    <n v="6.9"/>
    <n v="9.6999999999999993"/>
    <x v="6"/>
    <x v="2"/>
    <n v="93067.78"/>
    <n v="1.2"/>
    <n v="5.18"/>
  </r>
  <r>
    <s v="PT0033599"/>
    <n v="83"/>
    <x v="0"/>
    <x v="7"/>
    <x v="2"/>
    <n v="6.3460000000000001"/>
    <n v="0.1"/>
    <n v="3.7"/>
    <n v="4.5999999999999996"/>
    <n v="7.5"/>
    <x v="2"/>
    <x v="2"/>
    <n v="28346.49"/>
    <n v="4.3"/>
    <n v="5.33"/>
  </r>
  <r>
    <s v="PT0033706"/>
    <n v="70"/>
    <x v="3"/>
    <x v="2"/>
    <x v="2"/>
    <n v="9.1"/>
    <n v="7.3"/>
    <n v="4.564814814814814"/>
    <n v="0.4"/>
    <n v="4.8"/>
    <x v="2"/>
    <x v="2"/>
    <n v="24817.27"/>
    <n v="5.3"/>
    <n v="5.85"/>
  </r>
  <r>
    <s v="PT0033736"/>
    <n v="43"/>
    <x v="0"/>
    <x v="0"/>
    <x v="2"/>
    <n v="0.1"/>
    <n v="4.4000000000000004"/>
    <n v="7.2"/>
    <n v="4"/>
    <n v="8.8000000000000007"/>
    <x v="5"/>
    <x v="2"/>
    <n v="46404.17"/>
    <n v="3.7"/>
    <n v="5.29"/>
  </r>
  <r>
    <s v="PT0034017"/>
    <n v="85"/>
    <x v="1"/>
    <x v="5"/>
    <x v="2"/>
    <n v="1"/>
    <n v="5"/>
    <n v="5.8"/>
    <n v="9.8000000000000007"/>
    <n v="3.8"/>
    <x v="4"/>
    <x v="2"/>
    <n v="68583.06"/>
    <n v="3.6"/>
    <n v="4.79"/>
  </r>
  <r>
    <s v="PT0034159"/>
    <n v="82"/>
    <x v="1"/>
    <x v="4"/>
    <x v="2"/>
    <n v="9.5"/>
    <n v="7.6"/>
    <n v="4.3"/>
    <n v="5.4"/>
    <n v="9"/>
    <x v="6"/>
    <x v="1"/>
    <n v="82796.42"/>
    <n v="8.3000000000000007"/>
    <n v="6.01"/>
  </r>
  <r>
    <s v="PT0034181"/>
    <n v="54"/>
    <x v="3"/>
    <x v="0"/>
    <x v="2"/>
    <n v="2.7"/>
    <n v="1.2"/>
    <n v="1.1000000000000001"/>
    <n v="3.9"/>
    <n v="8.6"/>
    <x v="4"/>
    <x v="0"/>
    <n v="47746.06"/>
    <n v="9.6"/>
    <n v="3.57"/>
  </r>
  <r>
    <s v="PT0034467"/>
    <n v="79"/>
    <x v="0"/>
    <x v="8"/>
    <x v="2"/>
    <n v="0.7"/>
    <n v="3.4"/>
    <n v="5.5"/>
    <n v="2.2999999999999998"/>
    <n v="0.6"/>
    <x v="1"/>
    <x v="0"/>
    <n v="44086.22"/>
    <n v="0.7"/>
    <n v="3.11"/>
  </r>
  <r>
    <s v="PT0034490"/>
    <n v="79"/>
    <x v="3"/>
    <x v="2"/>
    <x v="2"/>
    <n v="9.6"/>
    <n v="6.9"/>
    <n v="9.8000000000000007"/>
    <n v="9.6999999999999993"/>
    <n v="3.9575757575757575"/>
    <x v="3"/>
    <x v="1"/>
    <n v="88756.03"/>
    <n v="9.9"/>
    <n v="7.33"/>
  </r>
  <r>
    <s v="PT0034493"/>
    <n v="76"/>
    <x v="3"/>
    <x v="5"/>
    <x v="2"/>
    <n v="7"/>
    <n v="5.2"/>
    <n v="6.7"/>
    <n v="5.1474999999999991"/>
    <n v="8"/>
    <x v="5"/>
    <x v="1"/>
    <n v="9988.14"/>
    <n v="2.2999999999999998"/>
    <n v="7.67"/>
  </r>
  <r>
    <s v="PT0034508"/>
    <n v="46"/>
    <x v="1"/>
    <x v="3"/>
    <x v="2"/>
    <n v="7.1"/>
    <n v="9.5"/>
    <n v="0.8"/>
    <n v="5.6"/>
    <n v="6.8"/>
    <x v="2"/>
    <x v="1"/>
    <n v="18609.099999999999"/>
    <n v="7.6"/>
    <n v="6.39"/>
  </r>
  <r>
    <s v="PT0034750"/>
    <n v="24"/>
    <x v="1"/>
    <x v="9"/>
    <x v="2"/>
    <n v="7"/>
    <n v="7.6"/>
    <n v="5.3"/>
    <n v="7.6"/>
    <n v="0.2"/>
    <x v="8"/>
    <x v="2"/>
    <n v="45778.04"/>
    <n v="1.1000000000000001"/>
    <n v="5.96"/>
  </r>
  <r>
    <s v="PT0034882"/>
    <n v="69"/>
    <x v="0"/>
    <x v="4"/>
    <x v="2"/>
    <n v="9.8000000000000007"/>
    <n v="2.8"/>
    <n v="7.1"/>
    <n v="8.4"/>
    <n v="8.5"/>
    <x v="0"/>
    <x v="1"/>
    <n v="96208.01"/>
    <n v="9.6999999999999993"/>
    <n v="6.05"/>
  </r>
  <r>
    <s v="PT0035071"/>
    <n v="67"/>
    <x v="0"/>
    <x v="4"/>
    <x v="2"/>
    <n v="6.4"/>
    <n v="6.1"/>
    <n v="2.9"/>
    <n v="6.3"/>
    <n v="0.7"/>
    <x v="3"/>
    <x v="2"/>
    <n v="83652.789999999994"/>
    <n v="3.3"/>
    <n v="4.29"/>
  </r>
  <r>
    <s v="PT0035263"/>
    <n v="65"/>
    <x v="1"/>
    <x v="4"/>
    <x v="2"/>
    <n v="4.7"/>
    <n v="5"/>
    <n v="8.6999999999999993"/>
    <n v="8.6"/>
    <n v="6"/>
    <x v="0"/>
    <x v="3"/>
    <n v="43739.9"/>
    <n v="9"/>
    <n v="33.17"/>
  </r>
  <r>
    <s v="PT0035411"/>
    <n v="26"/>
    <x v="1"/>
    <x v="2"/>
    <x v="2"/>
    <n v="1.9"/>
    <n v="0.1"/>
    <n v="4.5"/>
    <n v="3.7"/>
    <n v="0.7"/>
    <x v="8"/>
    <x v="0"/>
    <n v="42257.66"/>
    <n v="9.5"/>
    <n v="3.36"/>
  </r>
  <r>
    <s v="PT0035444"/>
    <n v="37"/>
    <x v="1"/>
    <x v="1"/>
    <x v="2"/>
    <n v="4.0999999999999996"/>
    <n v="1"/>
    <n v="5.3"/>
    <n v="3.5"/>
    <n v="0.7"/>
    <x v="3"/>
    <x v="2"/>
    <n v="10333.459999999999"/>
    <n v="3.2"/>
    <n v="4.33"/>
  </r>
  <r>
    <s v="PT0035446"/>
    <n v="61"/>
    <x v="1"/>
    <x v="5"/>
    <x v="2"/>
    <n v="1.5"/>
    <n v="8.9"/>
    <n v="9.9"/>
    <n v="7.5"/>
    <n v="0.5"/>
    <x v="0"/>
    <x v="2"/>
    <n v="74407.41"/>
    <n v="8.6999999999999993"/>
    <n v="5.18"/>
  </r>
  <r>
    <s v="PT0035455"/>
    <n v="5"/>
    <x v="1"/>
    <x v="1"/>
    <x v="2"/>
    <n v="4.5999999999999996"/>
    <n v="8.4"/>
    <n v="7.3"/>
    <n v="7.4"/>
    <n v="4.8"/>
    <x v="2"/>
    <x v="2"/>
    <n v="74233.95"/>
    <n v="5.3"/>
    <n v="5.75"/>
  </r>
  <r>
    <s v="PT0035761"/>
    <n v="80"/>
    <x v="2"/>
    <x v="8"/>
    <x v="2"/>
    <n v="2.6"/>
    <n v="5.0999999999999996"/>
    <n v="1.3"/>
    <n v="7.7"/>
    <n v="9.5"/>
    <x v="4"/>
    <x v="2"/>
    <n v="29727.4"/>
    <n v="6.6"/>
    <n v="5.38"/>
  </r>
  <r>
    <s v="PT0035832"/>
    <n v="76"/>
    <x v="1"/>
    <x v="0"/>
    <x v="2"/>
    <n v="2.7"/>
    <n v="8.6999999999999993"/>
    <n v="6.4"/>
    <n v="8.8000000000000007"/>
    <n v="2.8"/>
    <x v="6"/>
    <x v="1"/>
    <n v="41649.64"/>
    <n v="9.1999999999999993"/>
    <n v="6.01"/>
  </r>
  <r>
    <s v="PT0035876"/>
    <n v="64"/>
    <x v="0"/>
    <x v="4"/>
    <x v="2"/>
    <n v="6.4"/>
    <n v="2.5"/>
    <n v="1.2"/>
    <n v="3.8"/>
    <n v="7.5"/>
    <x v="2"/>
    <x v="2"/>
    <n v="46587.22"/>
    <n v="1.6"/>
    <n v="5.23"/>
  </r>
  <r>
    <s v="PT0035941"/>
    <n v="59"/>
    <x v="1"/>
    <x v="6"/>
    <x v="2"/>
    <n v="5.6"/>
    <n v="6.5"/>
    <n v="5.0999999999999996"/>
    <n v="9.8000000000000007"/>
    <n v="5.0999999999999996"/>
    <x v="3"/>
    <x v="2"/>
    <n v="48994.02"/>
    <n v="3.6"/>
    <n v="5.45"/>
  </r>
  <r>
    <s v="PT0036266"/>
    <n v="44"/>
    <x v="3"/>
    <x v="1"/>
    <x v="2"/>
    <n v="9.6999999999999993"/>
    <n v="4.5"/>
    <n v="9.6"/>
    <n v="2.4"/>
    <n v="4.5"/>
    <x v="8"/>
    <x v="2"/>
    <n v="60540.97"/>
    <n v="3"/>
    <n v="5.77"/>
  </r>
  <r>
    <s v="PT0036478"/>
    <n v="84"/>
    <x v="0"/>
    <x v="9"/>
    <x v="2"/>
    <n v="4.2"/>
    <n v="7"/>
    <n v="2.5"/>
    <n v="8.6999999999999993"/>
    <n v="5.4"/>
    <x v="8"/>
    <x v="2"/>
    <n v="27367.02"/>
    <n v="4.4000000000000004"/>
    <n v="6"/>
  </r>
  <r>
    <s v="PT0036498"/>
    <n v="79"/>
    <x v="0"/>
    <x v="3"/>
    <x v="2"/>
    <n v="9.1999999999999993"/>
    <n v="2.7"/>
    <n v="2"/>
    <n v="8"/>
    <n v="4.7"/>
    <x v="4"/>
    <x v="2"/>
    <n v="38672.839999999997"/>
    <n v="10"/>
    <n v="5.84"/>
  </r>
  <r>
    <s v="PT0036559"/>
    <n v="30"/>
    <x v="0"/>
    <x v="3"/>
    <x v="2"/>
    <n v="9"/>
    <n v="7"/>
    <n v="3.1"/>
    <n v="5.8"/>
    <n v="2.8"/>
    <x v="8"/>
    <x v="1"/>
    <n v="6497.11"/>
    <n v="1.8"/>
    <n v="6.63"/>
  </r>
  <r>
    <s v="PT0036959"/>
    <n v="77"/>
    <x v="1"/>
    <x v="8"/>
    <x v="2"/>
    <n v="6.5"/>
    <n v="1.7"/>
    <n v="5.8"/>
    <n v="0.4"/>
    <n v="6.3"/>
    <x v="1"/>
    <x v="0"/>
    <n v="69446.59"/>
    <n v="1.8"/>
    <n v="3.75"/>
  </r>
  <r>
    <s v="PT0036984"/>
    <n v="74"/>
    <x v="3"/>
    <x v="4"/>
    <x v="2"/>
    <n v="4.9759259259259254"/>
    <n v="6.6"/>
    <n v="4.4968750000000002"/>
    <n v="7.5"/>
    <n v="7.2"/>
    <x v="1"/>
    <x v="2"/>
    <n v="85317.77"/>
    <n v="5.9"/>
    <n v="4.37"/>
  </r>
  <r>
    <s v="PT0037014"/>
    <n v="89"/>
    <x v="3"/>
    <x v="7"/>
    <x v="2"/>
    <n v="1.6"/>
    <n v="0.4"/>
    <n v="5.2"/>
    <n v="2"/>
    <n v="5.0547169811320751"/>
    <x v="8"/>
    <x v="0"/>
    <n v="38318.31"/>
    <n v="8.3000000000000007"/>
    <n v="3.3"/>
  </r>
  <r>
    <s v="PT0037044"/>
    <n v="65"/>
    <x v="3"/>
    <x v="4"/>
    <x v="2"/>
    <n v="8.3000000000000007"/>
    <n v="9.1"/>
    <n v="2.2999999999999998"/>
    <n v="3.2"/>
    <n v="7.4"/>
    <x v="2"/>
    <x v="1"/>
    <n v="13933.65"/>
    <n v="1.9"/>
    <n v="6.47"/>
  </r>
  <r>
    <s v="PT0037095"/>
    <n v="84"/>
    <x v="1"/>
    <x v="1"/>
    <x v="2"/>
    <n v="4.4000000000000004"/>
    <n v="5.0999999999999996"/>
    <n v="6.5"/>
    <n v="5"/>
    <n v="6.3"/>
    <x v="8"/>
    <x v="1"/>
    <n v="8969.86"/>
    <n v="6.4"/>
    <n v="6.07"/>
  </r>
  <r>
    <s v="PT0037467"/>
    <n v="61"/>
    <x v="3"/>
    <x v="1"/>
    <x v="2"/>
    <n v="0"/>
    <n v="2.1"/>
    <n v="3.8"/>
    <n v="1.4"/>
    <n v="3.3"/>
    <x v="1"/>
    <x v="0"/>
    <n v="24735.74"/>
    <n v="3.1"/>
    <n v="3"/>
  </r>
  <r>
    <s v="PT0037510"/>
    <n v="53"/>
    <x v="3"/>
    <x v="0"/>
    <x v="2"/>
    <n v="6.7"/>
    <n v="5.7"/>
    <n v="8.1999999999999993"/>
    <n v="5.0999999999999996"/>
    <n v="2.5"/>
    <x v="4"/>
    <x v="2"/>
    <n v="59907.97"/>
    <n v="2.2999999999999998"/>
    <n v="5.5"/>
  </r>
  <r>
    <s v="PT0038080"/>
    <n v="69"/>
    <x v="3"/>
    <x v="8"/>
    <x v="2"/>
    <n v="4.5366336633663344"/>
    <n v="2.2000000000000002"/>
    <n v="4.9000000000000004"/>
    <n v="0"/>
    <n v="1.1000000000000001"/>
    <x v="1"/>
    <x v="0"/>
    <n v="60891.88"/>
    <n v="7"/>
    <n v="3.12"/>
  </r>
  <r>
    <s v="PT0038202"/>
    <n v="49"/>
    <x v="0"/>
    <x v="8"/>
    <x v="2"/>
    <n v="7.5"/>
    <n v="4.5999999999999996"/>
    <n v="2.6"/>
    <n v="5"/>
    <n v="0.4"/>
    <x v="7"/>
    <x v="0"/>
    <n v="81640.320000000007"/>
    <n v="9.1999999999999993"/>
    <n v="3.99"/>
  </r>
  <r>
    <s v="PT0038356"/>
    <n v="33"/>
    <x v="3"/>
    <x v="1"/>
    <x v="2"/>
    <n v="6.4"/>
    <n v="8.3000000000000007"/>
    <n v="2.7"/>
    <n v="2.2999999999999998"/>
    <n v="3.8"/>
    <x v="1"/>
    <x v="2"/>
    <n v="44912.97"/>
    <n v="9.1999999999999993"/>
    <n v="4.87"/>
  </r>
  <r>
    <s v="PT0038433"/>
    <n v="37"/>
    <x v="1"/>
    <x v="7"/>
    <x v="2"/>
    <n v="3.9"/>
    <n v="7.6"/>
    <n v="8.5"/>
    <n v="9.9"/>
    <n v="3.9857142857142849"/>
    <x v="7"/>
    <x v="1"/>
    <n v="22437.66"/>
    <n v="5.8"/>
    <n v="7.21"/>
  </r>
  <r>
    <s v="PT0038560"/>
    <n v="83"/>
    <x v="1"/>
    <x v="3"/>
    <x v="2"/>
    <n v="9.4"/>
    <n v="4.7"/>
    <n v="8.6"/>
    <n v="2.2999999999999998"/>
    <n v="7.6"/>
    <x v="1"/>
    <x v="1"/>
    <n v="6241.78"/>
    <n v="4"/>
    <n v="6.97"/>
  </r>
  <r>
    <s v="PT0039112"/>
    <n v="27"/>
    <x v="2"/>
    <x v="7"/>
    <x v="2"/>
    <n v="3.1"/>
    <n v="5.0999999999999996"/>
    <n v="4"/>
    <n v="1.4"/>
    <n v="8.6"/>
    <x v="0"/>
    <x v="0"/>
    <n v="61264.58"/>
    <n v="6.6"/>
    <n v="3.13"/>
  </r>
  <r>
    <s v="PT0039219"/>
    <n v="36"/>
    <x v="3"/>
    <x v="1"/>
    <x v="2"/>
    <n v="2.4"/>
    <n v="4.5999999999999996"/>
    <n v="9.5"/>
    <n v="2.2999999999999998"/>
    <n v="5.4"/>
    <x v="3"/>
    <x v="2"/>
    <n v="36286.65"/>
    <n v="2.9"/>
    <n v="4.87"/>
  </r>
  <r>
    <s v="PT0039224"/>
    <n v="40"/>
    <x v="1"/>
    <x v="0"/>
    <x v="2"/>
    <n v="4.3"/>
    <n v="6.3"/>
    <n v="3.2"/>
    <n v="9.3000000000000007"/>
    <n v="6.5"/>
    <x v="4"/>
    <x v="3"/>
    <n v="30039.25"/>
    <n v="1.6"/>
    <n v="31"/>
  </r>
  <r>
    <s v="PT0039371"/>
    <n v="81"/>
    <x v="0"/>
    <x v="7"/>
    <x v="2"/>
    <n v="6.5"/>
    <n v="3"/>
    <n v="8.9"/>
    <n v="3.8"/>
    <n v="2.2000000000000002"/>
    <x v="3"/>
    <x v="2"/>
    <n v="47801.59"/>
    <n v="3.9"/>
    <n v="5.1100000000000003"/>
  </r>
  <r>
    <s v="PT0039389"/>
    <n v="77"/>
    <x v="3"/>
    <x v="9"/>
    <x v="2"/>
    <n v="2.6"/>
    <n v="4.9000000000000004"/>
    <n v="4.3"/>
    <n v="3.3"/>
    <n v="0.1"/>
    <x v="2"/>
    <x v="0"/>
    <n v="96388.21"/>
    <n v="7"/>
    <n v="3.39"/>
  </r>
  <r>
    <s v="PT0039531"/>
    <n v="23"/>
    <x v="2"/>
    <x v="3"/>
    <x v="2"/>
    <n v="9.8000000000000007"/>
    <n v="4"/>
    <n v="9"/>
    <n v="8"/>
    <n v="5.5"/>
    <x v="5"/>
    <x v="1"/>
    <n v="8103.6"/>
    <n v="4.0999999999999996"/>
    <n v="7.33"/>
  </r>
  <r>
    <s v="PT0040067"/>
    <n v="89"/>
    <x v="0"/>
    <x v="2"/>
    <x v="2"/>
    <n v="1.7"/>
    <n v="8.8000000000000007"/>
    <n v="0.5"/>
    <n v="6.1"/>
    <n v="5"/>
    <x v="2"/>
    <x v="2"/>
    <n v="52059.519999999997"/>
    <n v="3"/>
    <n v="4.41"/>
  </r>
  <r>
    <s v="PT0040232"/>
    <n v="72"/>
    <x v="1"/>
    <x v="1"/>
    <x v="2"/>
    <n v="9.6"/>
    <n v="4"/>
    <n v="8.1"/>
    <n v="5.7"/>
    <n v="1.1000000000000001"/>
    <x v="4"/>
    <x v="1"/>
    <n v="21002.49"/>
    <n v="4.0999999999999996"/>
    <n v="6.56"/>
  </r>
  <r>
    <s v="PT0040293"/>
    <n v="49"/>
    <x v="1"/>
    <x v="0"/>
    <x v="2"/>
    <n v="2.6"/>
    <n v="1.9"/>
    <n v="5.5"/>
    <n v="4.2"/>
    <n v="5.3"/>
    <x v="6"/>
    <x v="2"/>
    <n v="23347.22"/>
    <n v="7.3"/>
    <n v="4.53"/>
  </r>
  <r>
    <s v="PT0040301"/>
    <n v="60"/>
    <x v="3"/>
    <x v="7"/>
    <x v="2"/>
    <n v="7.6"/>
    <n v="1.6"/>
    <n v="3.4"/>
    <n v="4.4000000000000004"/>
    <n v="99"/>
    <x v="2"/>
    <x v="2"/>
    <n v="42564.05"/>
    <n v="3.4"/>
    <n v="5.16"/>
  </r>
  <r>
    <s v="PT0040317"/>
    <n v="53"/>
    <x v="0"/>
    <x v="0"/>
    <x v="2"/>
    <n v="3.7"/>
    <n v="2.9"/>
    <n v="3.5"/>
    <n v="5.0873015873015861"/>
    <n v="3.2"/>
    <x v="3"/>
    <x v="3"/>
    <n v="37177.339999999997"/>
    <n v="8.1999999999999993"/>
    <n v="18.690000000000001"/>
  </r>
  <r>
    <s v="PT0040485"/>
    <n v="69"/>
    <x v="3"/>
    <x v="5"/>
    <x v="2"/>
    <n v="8.1999999999999993"/>
    <n v="3.6"/>
    <n v="5.3"/>
    <n v="1.2"/>
    <n v="9.5"/>
    <x v="0"/>
    <x v="2"/>
    <n v="47989.98"/>
    <n v="3"/>
    <n v="5.21"/>
  </r>
  <r>
    <s v="PT0040499"/>
    <n v="84"/>
    <x v="3"/>
    <x v="9"/>
    <x v="2"/>
    <n v="1.9"/>
    <n v="2.2000000000000002"/>
    <n v="4.0999999999999996"/>
    <n v="8.8000000000000007"/>
    <n v="2.2000000000000002"/>
    <x v="6"/>
    <x v="0"/>
    <n v="93655.4"/>
    <n v="4.2"/>
    <n v="3.43"/>
  </r>
  <r>
    <s v="PT0041199"/>
    <n v="39"/>
    <x v="0"/>
    <x v="2"/>
    <x v="2"/>
    <n v="7.4"/>
    <n v="3.3"/>
    <n v="7.7"/>
    <n v="3"/>
    <n v="7.4"/>
    <x v="7"/>
    <x v="2"/>
    <n v="83507.360000000001"/>
    <n v="6.2"/>
    <n v="4.8"/>
  </r>
  <r>
    <s v="PT0041894"/>
    <n v="81"/>
    <x v="1"/>
    <x v="6"/>
    <x v="2"/>
    <n v="6.1"/>
    <n v="5.7"/>
    <n v="3.2"/>
    <n v="5.0265306122448985"/>
    <n v="4.4000000000000004"/>
    <x v="6"/>
    <x v="2"/>
    <n v="77573.67"/>
    <n v="8.9"/>
    <n v="4.04"/>
  </r>
  <r>
    <s v="PT0042071"/>
    <n v="40"/>
    <x v="3"/>
    <x v="7"/>
    <x v="2"/>
    <n v="8.6999999999999993"/>
    <n v="4.3"/>
    <n v="5.9"/>
    <n v="8.6"/>
    <n v="0.4"/>
    <x v="4"/>
    <x v="1"/>
    <n v="23854.37"/>
    <n v="5.5"/>
    <n v="6.55"/>
  </r>
  <r>
    <s v="PT0042347"/>
    <n v="51"/>
    <x v="0"/>
    <x v="2"/>
    <x v="2"/>
    <n v="5"/>
    <n v="4"/>
    <n v="0.6"/>
    <n v="5.6"/>
    <n v="9.9"/>
    <x v="2"/>
    <x v="0"/>
    <n v="97313.35"/>
    <n v="0.5"/>
    <n v="3.85"/>
  </r>
  <r>
    <s v="PT0042387"/>
    <n v="82"/>
    <x v="3"/>
    <x v="5"/>
    <x v="2"/>
    <n v="1.3"/>
    <n v="4.9000000000000004"/>
    <n v="0.3"/>
    <n v="1.4"/>
    <n v="3.8"/>
    <x v="7"/>
    <x v="0"/>
    <n v="46050.01"/>
    <n v="2.2000000000000002"/>
    <n v="2.78"/>
  </r>
  <r>
    <s v="PT0042889"/>
    <n v="30"/>
    <x v="1"/>
    <x v="5"/>
    <x v="2"/>
    <n v="7.5"/>
    <n v="9.8000000000000007"/>
    <n v="4.5845070422535219"/>
    <n v="5.3"/>
    <n v="7.6"/>
    <x v="3"/>
    <x v="1"/>
    <n v="18447.2"/>
    <n v="1"/>
    <n v="7.53"/>
  </r>
  <r>
    <s v="PT0043138"/>
    <n v="71"/>
    <x v="0"/>
    <x v="7"/>
    <x v="2"/>
    <n v="5.2"/>
    <n v="4.9000000000000004"/>
    <n v="1.6"/>
    <n v="6.3"/>
    <n v="3.2"/>
    <x v="6"/>
    <x v="2"/>
    <n v="63540.44"/>
    <n v="6.8"/>
    <n v="4.32"/>
  </r>
  <r>
    <s v="PT0043261"/>
    <n v="54"/>
    <x v="3"/>
    <x v="2"/>
    <x v="2"/>
    <n v="7"/>
    <n v="5.3"/>
    <n v="1.3"/>
    <n v="2.8"/>
    <n v="8.6"/>
    <x v="8"/>
    <x v="2"/>
    <n v="63328.56"/>
    <n v="2.8"/>
    <n v="4.54"/>
  </r>
  <r>
    <s v="PT0043294"/>
    <n v="82"/>
    <x v="3"/>
    <x v="8"/>
    <x v="2"/>
    <n v="6.7"/>
    <n v="3.1"/>
    <n v="1.5"/>
    <n v="4.3"/>
    <n v="1.3"/>
    <x v="0"/>
    <x v="0"/>
    <n v="92859.37"/>
    <n v="9.3000000000000007"/>
    <n v="3.16"/>
  </r>
  <r>
    <s v="PT0043421"/>
    <n v="35"/>
    <x v="0"/>
    <x v="4"/>
    <x v="2"/>
    <n v="4.7"/>
    <n v="4.0999999999999996"/>
    <n v="5"/>
    <n v="8.5"/>
    <n v="0.2"/>
    <x v="6"/>
    <x v="2"/>
    <n v="40670.949999999997"/>
    <n v="4.2"/>
    <n v="5.21"/>
  </r>
  <r>
    <s v="PT0043892"/>
    <n v="69"/>
    <x v="1"/>
    <x v="4"/>
    <x v="2"/>
    <n v="8"/>
    <n v="7.2"/>
    <n v="0.2"/>
    <n v="6.8"/>
    <n v="3.9857142857142849"/>
    <x v="0"/>
    <x v="2"/>
    <n v="51129.34"/>
    <n v="4.8"/>
    <n v="5.28"/>
  </r>
  <r>
    <s v="PT0044842"/>
    <n v="36"/>
    <x v="0"/>
    <x v="9"/>
    <x v="2"/>
    <n v="9.8000000000000007"/>
    <n v="7.2"/>
    <n v="1.2"/>
    <n v="3.5"/>
    <n v="6.1"/>
    <x v="4"/>
    <x v="2"/>
    <n v="87797.95"/>
    <n v="7.4"/>
    <n v="4.7699999999999996"/>
  </r>
  <r>
    <s v="PT0045023"/>
    <n v="47"/>
    <x v="0"/>
    <x v="9"/>
    <x v="2"/>
    <n v="1.9"/>
    <n v="9.9"/>
    <n v="7.8"/>
    <n v="0"/>
    <n v="9.3000000000000007"/>
    <x v="8"/>
    <x v="2"/>
    <n v="25364.95"/>
    <n v="2.7"/>
    <n v="5.46"/>
  </r>
  <r>
    <s v="PT0045164"/>
    <n v="59"/>
    <x v="3"/>
    <x v="2"/>
    <x v="2"/>
    <n v="2.6"/>
    <n v="0.2"/>
    <n v="4.0999999999999996"/>
    <n v="5.0057971014492768"/>
    <n v="3.5"/>
    <x v="6"/>
    <x v="4"/>
    <n v="97082.27"/>
    <n v="2.2000000000000002"/>
    <n v="1.65"/>
  </r>
  <r>
    <s v="PT0045261"/>
    <n v="82"/>
    <x v="1"/>
    <x v="1"/>
    <x v="2"/>
    <n v="1.4"/>
    <n v="2.7"/>
    <n v="0.8"/>
    <n v="1.7"/>
    <n v="6.5"/>
    <x v="7"/>
    <x v="0"/>
    <n v="72662.36"/>
    <n v="0.4"/>
    <n v="2.34"/>
  </r>
  <r>
    <s v="PT0046356"/>
    <n v="76"/>
    <x v="3"/>
    <x v="3"/>
    <x v="2"/>
    <n v="2.9"/>
    <n v="9.6999999999999993"/>
    <n v="5.9"/>
    <n v="4.3"/>
    <n v="8.5"/>
    <x v="0"/>
    <x v="2"/>
    <n v="43116.02"/>
    <n v="4.9000000000000004"/>
    <n v="5.77"/>
  </r>
  <r>
    <s v="PT0046597"/>
    <n v="47"/>
    <x v="1"/>
    <x v="2"/>
    <x v="2"/>
    <n v="3.9"/>
    <n v="7.2"/>
    <n v="3.4"/>
    <n v="7"/>
    <n v="4.5999999999999996"/>
    <x v="2"/>
    <x v="2"/>
    <n v="68837.740000000005"/>
    <n v="9.1"/>
    <n v="4.8499999999999996"/>
  </r>
  <r>
    <s v="PT0046993"/>
    <n v="68"/>
    <x v="0"/>
    <x v="3"/>
    <x v="2"/>
    <n v="6.1"/>
    <n v="5.0999999999999996"/>
    <n v="0.5"/>
    <n v="1.9"/>
    <n v="1.6"/>
    <x v="6"/>
    <x v="0"/>
    <n v="93441.9"/>
    <n v="7.4"/>
    <n v="2.73"/>
  </r>
  <r>
    <s v="PT0047662"/>
    <n v="63"/>
    <x v="0"/>
    <x v="7"/>
    <x v="2"/>
    <n v="12.758333333333333"/>
    <n v="6.5"/>
    <n v="6.7"/>
    <n v="0.8"/>
    <n v="5.7"/>
    <x v="0"/>
    <x v="0"/>
    <n v="75411.67"/>
    <n v="5.4"/>
    <n v="3.4"/>
  </r>
  <r>
    <s v="PT0048572"/>
    <n v="24"/>
    <x v="3"/>
    <x v="4"/>
    <x v="2"/>
    <n v="0.8"/>
    <n v="8.4"/>
    <n v="5.3"/>
    <n v="6.2"/>
    <n v="4.2"/>
    <x v="7"/>
    <x v="2"/>
    <n v="13929.79"/>
    <n v="8"/>
    <n v="5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3BDCE-E235-4592-BC6F-9D698726478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L22" firstHeaderRow="1" firstDataRow="2" firstDataCol="1"/>
  <pivotFields count="15">
    <pivotField dataField="1" showAll="0"/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numFmtId="164" showAll="0"/>
    <pivotField showAll="0"/>
    <pivotField numFmtId="164" showAll="0"/>
    <pivotField numFmtId="164" showAll="0"/>
    <pivotField numFmtId="164" showAll="0"/>
    <pivotField axis="axisRow" showAll="0">
      <items count="10">
        <item x="0"/>
        <item x="2"/>
        <item x="6"/>
        <item x="3"/>
        <item x="8"/>
        <item x="4"/>
        <item x="7"/>
        <item x="1"/>
        <item x="5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_ID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/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16822-76D3-436C-A56E-2A46180A31F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21" firstHeaderRow="1" firstDataRow="1" firstDataCol="1"/>
  <pivotFields count="15">
    <pivotField dataField="1" showAll="0"/>
    <pivotField showAll="0"/>
    <pivotField showAll="0"/>
    <pivotField axis="axisRow" showAll="0">
      <items count="11">
        <item x="0"/>
        <item x="4"/>
        <item x="6"/>
        <item x="2"/>
        <item x="5"/>
        <item x="9"/>
        <item x="3"/>
        <item x="1"/>
        <item x="8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numFmtId="164" showAll="0"/>
    <pivotField showAll="0"/>
    <pivotField numFmtId="164" showAll="0"/>
    <pivotField numFmtId="164" showAll="0"/>
    <pivotField numFmtId="164" showAll="0"/>
    <pivotField showAll="0">
      <items count="10">
        <item x="0"/>
        <item x="2"/>
        <item x="6"/>
        <item x="3"/>
        <item x="8"/>
        <item x="4"/>
        <item x="7"/>
        <item x="1"/>
        <item x="5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atient_ID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387E9-FCDD-4721-BFF7-42EC5C505AA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8" firstHeaderRow="1" firstDataRow="1" firstDataCol="1"/>
  <pivotFields count="15"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showAll="0"/>
    <pivotField numFmtId="164" showAll="0"/>
    <pivotField numFmtId="164" showAll="0"/>
    <pivotField numFmtId="164" showAll="0"/>
    <pivotField showAll="0">
      <items count="10">
        <item x="0"/>
        <item x="2"/>
        <item x="6"/>
        <item x="3"/>
        <item x="8"/>
        <item x="4"/>
        <item x="7"/>
        <item x="1"/>
        <item x="5"/>
        <item t="default"/>
      </items>
    </pivotField>
    <pivotField axis="axisRow" showAll="0" sortType="ascending">
      <items count="6">
        <item x="4"/>
        <item x="0"/>
        <item x="2"/>
        <item x="1"/>
        <item x="3"/>
        <item t="default"/>
      </items>
    </pivotField>
    <pivotField showAll="0"/>
    <pivotField dataField="1"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urvival_Year" fld="13" subtotal="average" baseField="11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/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ED5C8-B554-4498-819B-DE238459707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6" firstHeaderRow="1" firstDataRow="1" firstDataCol="1"/>
  <pivotFields count="15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showAll="0"/>
    <pivotField numFmtId="164" showAll="0"/>
    <pivotField numFmtId="164" showAll="0"/>
    <pivotField numFmtId="164" showAll="0"/>
    <pivotField showAll="0">
      <items count="10">
        <item x="0"/>
        <item x="2"/>
        <item x="6"/>
        <item x="3"/>
        <item x="8"/>
        <item x="4"/>
        <item x="7"/>
        <item x="1"/>
        <item x="5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reatment_Cost_USD" fld="12" subtotal="average" baseField="4" baseItem="0" numFmtId="1"/>
  </dataFields>
  <formats count="7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F8A52-14D2-4F62-BA3D-12898DD04A9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2" firstHeaderRow="1" firstDataRow="1" firstDataCol="1"/>
  <pivotFields count="15">
    <pivotField dataField="1" showAll="0"/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numFmtId="164" showAll="0"/>
    <pivotField axis="axisRow" showAll="0">
      <items count="10">
        <item x="0"/>
        <item x="2"/>
        <item x="6"/>
        <item x="3"/>
        <item x="8"/>
        <item x="4"/>
        <item x="7"/>
        <item x="1"/>
        <item x="5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atient_ID" fld="0" subtotal="count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0" type="button" dataOnly="0" labelOnly="1" outline="0" axis="axisRow" fieldPosition="0"/>
    </format>
    <format dxfId="27">
      <pivotArea dataOnly="0" labelOnly="1" fieldPosition="0">
        <references count="1">
          <reference field="10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B3B76-9B69-4A8C-B3EB-C33D95C74CE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5" firstHeaderRow="1" firstDataRow="1" firstDataCol="1"/>
  <pivotFields count="15"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showAll="0"/>
    <pivotField numFmtId="164" showAll="0"/>
    <pivotField numFmtId="164" showAll="0"/>
    <pivotField numFmtId="164" showAll="0"/>
    <pivotField axis="axisRow" showAll="0">
      <items count="10">
        <item x="0"/>
        <item x="2"/>
        <item x="6"/>
        <item x="3"/>
        <item x="8"/>
        <item x="4"/>
        <item x="7"/>
        <item x="1"/>
        <item x="5"/>
        <item t="default"/>
      </items>
    </pivotField>
    <pivotField showAll="0"/>
    <pivotField dataField="1" showAll="0"/>
    <pivotField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Treatment_Cost_USD" fld="12" subtotal="average" baseField="1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4" type="button" dataOnly="0" labelOnly="1" outline="0"/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0415ED-AB07-46E4-8B1D-4FE44EE5FE31}" name="Table3" displayName="Table3" ref="A1:Z532" totalsRowShown="0" headerRowDxfId="64" tableBorderDxfId="63">
  <autoFilter ref="A1:Z532" xr:uid="{940415ED-AB07-46E4-8B1D-4FE44EE5FE31}"/>
  <sortState xmlns:xlrd2="http://schemas.microsoft.com/office/spreadsheetml/2017/richdata2" ref="A2:Z532">
    <sortCondition ref="A1:A532"/>
  </sortState>
  <tableColumns count="26">
    <tableColumn id="1" xr3:uid="{F2E2D6FA-9926-4F41-B1F2-E73C4FDD3CFC}" name="PATIENT_ID" dataDxfId="62"/>
    <tableColumn id="2" xr3:uid="{F6B25087-D0CA-406A-8E15-4F4BD59E21BC}" name="AGE" dataDxfId="61"/>
    <tableColumn id="3" xr3:uid="{AC842E94-01C0-4677-A42B-6A767A4D1D45}" name="Gender" dataDxfId="60"/>
    <tableColumn id="4" xr3:uid="{CCAC6C99-98E9-4002-AF57-C6BBD5293DD0}" name="GENDER2" dataDxfId="59">
      <calculatedColumnFormula>PROPER(Table3[[#This Row],[Gender]])</calculatedColumnFormula>
    </tableColumn>
    <tableColumn id="5" xr3:uid="{38E4EF2C-62C5-4B8D-B131-CF2F271FC954}" name="Country_Region" dataDxfId="58"/>
    <tableColumn id="6" xr3:uid="{A5F9D322-6FE2-495A-896A-47C7C01E500E}" name="COUNTRY REGION" dataDxfId="57">
      <calculatedColumnFormula>PROPER(Table3[[#This Row],[Country_Region]])</calculatedColumnFormula>
    </tableColumn>
    <tableColumn id="7" xr3:uid="{3EEBE3C5-8916-4A0A-BED4-F86901923C06}" name="Year" dataDxfId="56"/>
    <tableColumn id="8" xr3:uid="{328AD559-78EF-4518-AA71-0D2F5F2C453F}" name="Genetic_Risk" dataDxfId="55"/>
    <tableColumn id="9" xr3:uid="{B7736542-5D45-44A2-8E71-43FC6534869F}" name="GENETIC_RISK2" dataDxfId="54">
      <calculatedColumnFormula>IF(H2="", AVERAGEIF('CLEANED DATASET'!$G$2:$G$532,G2,'CLEANED DATASET'!$H2),H2)</calculatedColumnFormula>
    </tableColumn>
    <tableColumn id="10" xr3:uid="{08BF0513-5E9A-4BC7-AC9A-AC1DC0462208}" name="Air_Pollution" dataDxfId="53"/>
    <tableColumn id="11" xr3:uid="{6B474440-9D4A-4493-B02C-E53A17159896}" name="AIR POLLUTION" dataDxfId="52">
      <calculatedColumnFormula>IF(J2="",ROUND(AVERAGEIF(G6:G532,G2,J2:J532),1),J2)</calculatedColumnFormula>
    </tableColumn>
    <tableColumn id="12" xr3:uid="{FA05322F-5A71-4AEA-8EB7-258932E28D4B}" name="Alcohol_Use" dataDxfId="51"/>
    <tableColumn id="13" xr3:uid="{998DE6DC-23A6-405F-87EC-6CE0D6110F91}" name="ALCOHOL USE" dataDxfId="50">
      <calculatedColumnFormula>IF(L2="", AVERAGEIF(G2:G532, G2,L2:L532),L2)</calculatedColumnFormula>
    </tableColumn>
    <tableColumn id="14" xr3:uid="{D5D1508A-E974-4689-8BAA-87C8C6444881}" name="Smoking" dataDxfId="49"/>
    <tableColumn id="15" xr3:uid="{2D6D790C-FC20-48EA-A947-9E7E9186A953}" name="SMOKING2" dataDxfId="48">
      <calculatedColumnFormula>IF(N2="",AVERAGEIF(G2:G532,G2,N2:N532),N2)</calculatedColumnFormula>
    </tableColumn>
    <tableColumn id="16" xr3:uid="{D491B5D7-E494-48E6-BEF9-29E8AAB2805F}" name="Obesity_Level" dataDxfId="47"/>
    <tableColumn id="17" xr3:uid="{2AFF6EE3-A055-49DB-9229-012A0FC29378}" name="OBESITY LEVEL" dataDxfId="46">
      <calculatedColumnFormula>IF(P2="",AVERAGEIF(G2:G532,G2,P2:P532),P2)</calculatedColumnFormula>
    </tableColumn>
    <tableColumn id="18" xr3:uid="{61569C30-F465-400A-A53C-E60B6D9CD909}" name="Cancer_Type" dataDxfId="45"/>
    <tableColumn id="19" xr3:uid="{7787431D-28D2-435F-A2D0-4444F73883DF}" name="Column1" dataDxfId="44">
      <calculatedColumnFormula>PROPER(Table3[[#This Row],[Cancer_Type]])</calculatedColumnFormula>
    </tableColumn>
    <tableColumn id="20" xr3:uid="{E2BAB8EB-36C6-4949-9E8A-5987F3C6F512}" name="Cancer_Stage" dataDxfId="43"/>
    <tableColumn id="21" xr3:uid="{D9B0E592-F81F-48EC-825C-E270C7516AA1}" name="Treatment_Cost_USD" dataDxfId="42"/>
    <tableColumn id="22" xr3:uid="{2043138D-7F54-48D0-A64C-4498D799D7D1}" name="SURVIVAL_YEAR" dataDxfId="41"/>
    <tableColumn id="26" xr3:uid="{5D942A3C-26FE-48ED-97A3-6893C37534C4}" name="SURVIVAL YEAR" dataDxfId="40">
      <calculatedColumnFormula>IF(Y2="Stage 0",RANDBETWEEN(9,10),
IF(Y2="Stage I",RANDBETWEEN(7,8),
IF(Y2="Stage II",RANDBETWEEN(5,6),
IF(Y2="Stage III",RANDBETWEEN(3,4),
IF(Y2="Stage IV",RANDBETWEEN(1,2),"")))))</calculatedColumnFormula>
    </tableColumn>
    <tableColumn id="23" xr3:uid="{FF7C838B-22A6-4094-A115-A7C48A3482E8}" name="TARGET_SEVERITY_SCORE" dataDxfId="39"/>
    <tableColumn id="24" xr3:uid="{8C7F2463-898B-4D1F-9F42-66B418B03B3A}" name="CANCER STAGE" dataDxfId="38">
      <calculatedColumnFormula>IF(X2&lt;=2,"Stage 0",IF(X2&lt;=4,"Stage I",IF(X2&lt;=6,"Stage II",IF(X2&lt;=8,"Stage III", "Stage IV"))))</calculatedColumnFormula>
    </tableColumn>
    <tableColumn id="25" xr3:uid="{77BB816C-DAD8-4B5B-831B-14096DC85760}" name=" TREATMENT COST USD" dataDxfId="37">
      <calculatedColumnFormula>IF(U2&lt;&gt;"",U2,ROUND(AVERAGEIF(S2:S532,S2,U2:U532),2))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5AE04-6AD3-4C8C-A6ED-BF767E4C67B6}" name="Table2" displayName="Table2" ref="A1:O532" totalsRowShown="0" headerRowDxfId="82" dataDxfId="81" tableBorderDxfId="80">
  <autoFilter ref="A1:O532" xr:uid="{C8A5AE04-6AD3-4C8C-A6ED-BF767E4C67B6}"/>
  <tableColumns count="15">
    <tableColumn id="1" xr3:uid="{05E4C92A-6DB0-4307-9274-740B8067E669}" name="PATIENT_ID" dataDxfId="79"/>
    <tableColumn id="2" xr3:uid="{4952EA32-63C7-48DC-8B54-3FF43FFA0559}" name="AGE" dataDxfId="78"/>
    <tableColumn id="3" xr3:uid="{ACA5B528-1574-499E-9AED-060E3A7F3490}" name="GENDER" dataDxfId="77"/>
    <tableColumn id="4" xr3:uid="{6055379A-D88A-4695-BB15-D48805FB0B91}" name="COUNTRY REGION" dataDxfId="76"/>
    <tableColumn id="5" xr3:uid="{B65AB125-1EDD-44AE-BF40-F8C20D897AFA}" name="YEAR" dataDxfId="75"/>
    <tableColumn id="6" xr3:uid="{96274AA6-863C-4B3A-A526-90657AF221F8}" name="GENETIC_RISK" dataDxfId="74"/>
    <tableColumn id="7" xr3:uid="{515764A4-C806-4EE5-93B4-E16759C21CA3}" name="AIR POLLUTION" dataDxfId="73"/>
    <tableColumn id="8" xr3:uid="{63066EA0-6955-4B5D-A3E4-8004B53384C1}" name="ALCOHOL USE" dataDxfId="72"/>
    <tableColumn id="9" xr3:uid="{A95CBB3C-E7BD-4F5E-971F-6A91A9758A83}" name="SMOKING" dataDxfId="71"/>
    <tableColumn id="10" xr3:uid="{EF294F80-45A1-4844-AD1A-327292CF53A5}" name="OBESITY LEVEL" dataDxfId="70"/>
    <tableColumn id="11" xr3:uid="{A16A70ED-44FB-4704-8FB0-A4A9FF28EF20}" name="CANCER_TYPE" dataDxfId="69"/>
    <tableColumn id="12" xr3:uid="{5D8100B2-BDE2-427F-8F60-7413B83AB4FC}" name="SURVIVAL YEAR" dataDxfId="68"/>
    <tableColumn id="13" xr3:uid="{47AC555B-8DB8-4F2A-85A6-C96DC9EF53D3}" name="TARGET_SEVERITY_SCORE" dataDxfId="67"/>
    <tableColumn id="14" xr3:uid="{E404D57A-C096-4CBC-83F4-A12B4300F0A8}" name="CANCER STAGE" dataDxfId="66"/>
    <tableColumn id="15" xr3:uid="{5E5D6A67-7125-4A5A-82F9-2100F1FE7EA0}" name=" TREATMENT COST USD" dataDxfId="6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2BAA-40C6-46DD-AEA6-A59943B94A58}">
  <dimension ref="A1:AB532"/>
  <sheetViews>
    <sheetView tabSelected="1" topLeftCell="O1" workbookViewId="0">
      <selection activeCell="R22" sqref="R22"/>
    </sheetView>
  </sheetViews>
  <sheetFormatPr defaultRowHeight="14.4"/>
  <cols>
    <col min="1" max="1" width="12" bestFit="1" customWidth="1"/>
    <col min="2" max="2" width="6.44140625" bestFit="1" customWidth="1"/>
    <col min="3" max="3" width="9.33203125" bestFit="1" customWidth="1"/>
    <col min="4" max="4" width="10.77734375" customWidth="1"/>
    <col min="5" max="5" width="16.88671875" bestFit="1" customWidth="1"/>
    <col min="6" max="6" width="18.109375" customWidth="1"/>
    <col min="7" max="7" width="6.5546875" customWidth="1"/>
    <col min="8" max="8" width="13.88671875" bestFit="1" customWidth="1"/>
    <col min="9" max="9" width="13.88671875" customWidth="1"/>
    <col min="10" max="10" width="14.109375" bestFit="1" customWidth="1"/>
    <col min="11" max="11" width="16.44140625" bestFit="1" customWidth="1"/>
    <col min="12" max="12" width="13.6640625" bestFit="1" customWidth="1"/>
    <col min="13" max="13" width="15" bestFit="1" customWidth="1"/>
    <col min="14" max="14" width="10.5546875" bestFit="1" customWidth="1"/>
    <col min="15" max="15" width="12.5546875" bestFit="1" customWidth="1"/>
    <col min="16" max="16" width="14.88671875" bestFit="1" customWidth="1"/>
    <col min="17" max="17" width="15.77734375" bestFit="1" customWidth="1"/>
    <col min="18" max="18" width="14.109375" bestFit="1" customWidth="1"/>
    <col min="19" max="20" width="14.6640625" bestFit="1" customWidth="1"/>
    <col min="21" max="21" width="20.88671875" style="6" customWidth="1"/>
    <col min="22" max="22" width="17.21875" bestFit="1" customWidth="1"/>
    <col min="23" max="23" width="19.109375" customWidth="1"/>
    <col min="24" max="24" width="27.88671875" bestFit="1" customWidth="1"/>
    <col min="25" max="25" width="19.109375" bestFit="1" customWidth="1"/>
  </cols>
  <sheetData>
    <row r="1" spans="1:26" ht="15.6">
      <c r="A1" s="11" t="s">
        <v>652</v>
      </c>
      <c r="B1" s="11" t="s">
        <v>651</v>
      </c>
      <c r="C1" s="14" t="s">
        <v>0</v>
      </c>
      <c r="D1" s="12" t="s">
        <v>596</v>
      </c>
      <c r="E1" s="14" t="s">
        <v>1</v>
      </c>
      <c r="F1" s="12" t="s">
        <v>595</v>
      </c>
      <c r="G1" s="11" t="s">
        <v>2</v>
      </c>
      <c r="H1" s="14" t="s">
        <v>3</v>
      </c>
      <c r="I1" s="12" t="s">
        <v>650</v>
      </c>
      <c r="J1" s="14" t="s">
        <v>4</v>
      </c>
      <c r="K1" s="12" t="s">
        <v>605</v>
      </c>
      <c r="L1" s="14" t="s">
        <v>5</v>
      </c>
      <c r="M1" s="12" t="s">
        <v>606</v>
      </c>
      <c r="N1" s="14" t="s">
        <v>6</v>
      </c>
      <c r="O1" s="12" t="s">
        <v>607</v>
      </c>
      <c r="P1" s="14" t="s">
        <v>7</v>
      </c>
      <c r="Q1" s="12" t="s">
        <v>608</v>
      </c>
      <c r="R1" s="14" t="s">
        <v>8</v>
      </c>
      <c r="S1" s="12" t="s">
        <v>665</v>
      </c>
      <c r="T1" s="15" t="s">
        <v>9</v>
      </c>
      <c r="U1" s="16" t="s">
        <v>10</v>
      </c>
      <c r="V1" s="14" t="s">
        <v>648</v>
      </c>
      <c r="W1" s="11" t="s">
        <v>666</v>
      </c>
      <c r="X1" s="17" t="s">
        <v>647</v>
      </c>
      <c r="Y1" s="11" t="s">
        <v>646</v>
      </c>
      <c r="Z1" s="13" t="s">
        <v>649</v>
      </c>
    </row>
    <row r="2" spans="1:26">
      <c r="A2" s="1" t="s">
        <v>99</v>
      </c>
      <c r="B2" s="1">
        <v>60</v>
      </c>
      <c r="C2" s="1" t="s">
        <v>542</v>
      </c>
      <c r="D2" s="1" t="str">
        <f>PROPER(Table3[[#This Row],[Gender]])</f>
        <v>Male</v>
      </c>
      <c r="E2" s="1" t="s">
        <v>549</v>
      </c>
      <c r="F2" s="1" t="str">
        <f>PROPER(Table3[[#This Row],[Country_Region]])</f>
        <v>Australia</v>
      </c>
      <c r="G2" s="1">
        <v>2022</v>
      </c>
      <c r="H2" s="1">
        <v>6.1</v>
      </c>
      <c r="I2" s="1">
        <f>IF(H2="", AVERAGEIF('CLEANED DATASET'!$G$2:$G$532,G2,'CLEANED DATASET'!$H91),H2)</f>
        <v>6.1</v>
      </c>
      <c r="J2" s="1">
        <v>2.1</v>
      </c>
      <c r="K2" s="1">
        <f t="shared" ref="K2:K65" si="0">IF(J2="",ROUND(AVERAGEIF(G6:G532,G2,J2:J532),1),J2)</f>
        <v>2.1</v>
      </c>
      <c r="L2" s="1">
        <v>6.3</v>
      </c>
      <c r="M2" s="1">
        <f t="shared" ref="M2:M65" si="1">IF(L2="", AVERAGEIF(G2:G532, G2,L2:L532),L2)</f>
        <v>6.3</v>
      </c>
      <c r="N2" s="1"/>
      <c r="O2" s="3">
        <f t="shared" ref="O2:O65" si="2">IF(N2="",AVERAGEIF(G2:G532,G2,N2:N532),N2)</f>
        <v>4.6005847953216401</v>
      </c>
      <c r="P2" s="1">
        <v>0.6</v>
      </c>
      <c r="Q2" s="1">
        <f t="shared" ref="Q2:Q33" si="3">IF(P2="",AVERAGEIF(G2:G532,G2,P2:P532),P2)</f>
        <v>0.6</v>
      </c>
      <c r="R2" s="1" t="s">
        <v>573</v>
      </c>
      <c r="S2" s="1" t="str">
        <f>PROPER(Table3[[#This Row],[Cancer_Type]])</f>
        <v>Breast</v>
      </c>
      <c r="T2" s="1" t="s">
        <v>592</v>
      </c>
      <c r="U2" s="4">
        <v>35502.54</v>
      </c>
      <c r="V2" s="1">
        <v>7.4</v>
      </c>
      <c r="W2" s="1">
        <f t="shared" ref="W2:W65" ca="1" si="4">IF(Y2="Stage 0",RANDBETWEEN(9,10),
IF(Y2="Stage I",RANDBETWEEN(7,8),
IF(Y2="Stage II",RANDBETWEEN(5,6),
IF(Y2="Stage III",RANDBETWEEN(3,4),
IF(Y2="Stage IV",RANDBETWEEN(1,2),"")))))</f>
        <v>7</v>
      </c>
      <c r="X2" s="1">
        <v>3.93</v>
      </c>
      <c r="Y2" s="1" t="str">
        <f t="shared" ref="Y2:Y65" si="5">IF(X2&lt;=2,"Stage 0",IF(X2&lt;=4,"Stage I",IF(X2&lt;=6,"Stage II",IF(X2&lt;=8,"Stage III", "Stage IV"))))</f>
        <v>Stage I</v>
      </c>
      <c r="Z2" s="10">
        <f t="shared" ref="Z2:Z7" si="6">IF(U2&lt;&gt;"",U2,ROUND(AVERAGEIF(S2:S532,S2,U2:U532),2))</f>
        <v>35502.54</v>
      </c>
    </row>
    <row r="3" spans="1:26">
      <c r="A3" s="1" t="s">
        <v>209</v>
      </c>
      <c r="B3" s="1">
        <v>70</v>
      </c>
      <c r="C3" s="1" t="s">
        <v>542</v>
      </c>
      <c r="D3" s="1" t="str">
        <f>PROPER(Table3[[#This Row],[Gender]])</f>
        <v>Male</v>
      </c>
      <c r="E3" s="1" t="s">
        <v>559</v>
      </c>
      <c r="F3" s="1" t="str">
        <f>PROPER(Table3[[#This Row],[Country_Region]])</f>
        <v>Russia</v>
      </c>
      <c r="G3" s="1">
        <v>2023</v>
      </c>
      <c r="H3" s="1">
        <v>1.6</v>
      </c>
      <c r="I3" s="1">
        <f>IF(H3="", AVERAGEIF('CLEANED DATASET'!$G$2:$G$532,G3,'CLEANED DATASET'!$H201),H3)</f>
        <v>1.6</v>
      </c>
      <c r="J3" s="1">
        <v>2</v>
      </c>
      <c r="K3" s="1">
        <f t="shared" si="0"/>
        <v>2</v>
      </c>
      <c r="L3" s="1">
        <v>4.3</v>
      </c>
      <c r="M3" s="1">
        <f t="shared" si="1"/>
        <v>4.3</v>
      </c>
      <c r="N3" s="1">
        <v>5</v>
      </c>
      <c r="O3" s="1">
        <f t="shared" si="2"/>
        <v>5</v>
      </c>
      <c r="P3" s="1">
        <v>0.8</v>
      </c>
      <c r="Q3" s="1">
        <f t="shared" si="3"/>
        <v>0.8</v>
      </c>
      <c r="R3" s="1" t="s">
        <v>572</v>
      </c>
      <c r="S3" s="1" t="str">
        <f>PROPER(Table3[[#This Row],[Cancer_Type]])</f>
        <v>Leukemia</v>
      </c>
      <c r="T3" s="1" t="s">
        <v>594</v>
      </c>
      <c r="U3" s="4">
        <v>16273.05</v>
      </c>
      <c r="V3" s="1">
        <v>1.5</v>
      </c>
      <c r="W3" s="1">
        <f t="shared" ca="1" si="4"/>
        <v>6</v>
      </c>
      <c r="X3" s="1">
        <v>4.0199999999999996</v>
      </c>
      <c r="Y3" s="1" t="str">
        <f t="shared" si="5"/>
        <v>Stage II</v>
      </c>
      <c r="Z3" s="10">
        <f t="shared" si="6"/>
        <v>16273.05</v>
      </c>
    </row>
    <row r="4" spans="1:26">
      <c r="A4" s="1" t="s">
        <v>133</v>
      </c>
      <c r="B4" s="1">
        <v>33</v>
      </c>
      <c r="C4" s="1" t="s">
        <v>541</v>
      </c>
      <c r="D4" s="1" t="str">
        <f>PROPER(Table3[[#This Row],[Gender]])</f>
        <v>Other</v>
      </c>
      <c r="E4" s="5" t="s">
        <v>621</v>
      </c>
      <c r="F4" s="1" t="str">
        <f>PROPER(Table3[[#This Row],[Country_Region]])</f>
        <v>Brazil</v>
      </c>
      <c r="G4" s="1">
        <v>2024</v>
      </c>
      <c r="H4" s="1">
        <v>9.1</v>
      </c>
      <c r="I4" s="1">
        <f>IF(H4="", AVERAGEIF('CLEANED DATASET'!$G$2:$G$532,G4,'CLEANED DATASET'!$H125),H4)</f>
        <v>9.1</v>
      </c>
      <c r="J4" s="1">
        <v>7.5</v>
      </c>
      <c r="K4" s="1">
        <f t="shared" si="0"/>
        <v>7.5</v>
      </c>
      <c r="L4" s="1"/>
      <c r="M4" s="3">
        <f t="shared" si="1"/>
        <v>4.7129629629629637</v>
      </c>
      <c r="N4" s="1">
        <v>7.5</v>
      </c>
      <c r="O4" s="1">
        <f t="shared" si="2"/>
        <v>7.5</v>
      </c>
      <c r="P4" s="1">
        <v>7</v>
      </c>
      <c r="Q4" s="1">
        <f t="shared" si="3"/>
        <v>7</v>
      </c>
      <c r="R4" s="1" t="s">
        <v>574</v>
      </c>
      <c r="S4" s="1" t="str">
        <f>PROPER(Table3[[#This Row],[Cancer_Type]])</f>
        <v>Colon</v>
      </c>
      <c r="T4" s="1" t="s">
        <v>590</v>
      </c>
      <c r="U4" s="4">
        <v>22899.65</v>
      </c>
      <c r="V4" s="1">
        <v>7</v>
      </c>
      <c r="W4" s="1">
        <f t="shared" ca="1" si="4"/>
        <v>4</v>
      </c>
      <c r="X4" s="1">
        <v>7.14</v>
      </c>
      <c r="Y4" s="1" t="str">
        <f t="shared" si="5"/>
        <v>Stage III</v>
      </c>
      <c r="Z4" s="10">
        <f t="shared" si="6"/>
        <v>22899.65</v>
      </c>
    </row>
    <row r="5" spans="1:26">
      <c r="A5" s="1" t="s">
        <v>502</v>
      </c>
      <c r="B5" s="1">
        <v>87</v>
      </c>
      <c r="C5" s="1" t="s">
        <v>543</v>
      </c>
      <c r="D5" s="1" t="str">
        <f>PROPER(Table3[[#This Row],[Gender]])</f>
        <v>Female</v>
      </c>
      <c r="E5" s="1" t="s">
        <v>555</v>
      </c>
      <c r="F5" s="1" t="str">
        <f>PROPER(Table3[[#This Row],[Country_Region]])</f>
        <v>Russia</v>
      </c>
      <c r="G5" s="1">
        <v>2022</v>
      </c>
      <c r="H5" s="1">
        <v>7.5</v>
      </c>
      <c r="I5" s="1">
        <f>IF(H5="", AVERAGEIF('CLEANED DATASET'!$G$2:$G$532,G5,'CLEANED DATASET'!$H494),H5)</f>
        <v>7.5</v>
      </c>
      <c r="J5" s="1">
        <v>8.5</v>
      </c>
      <c r="K5" s="1">
        <f t="shared" si="0"/>
        <v>8.5</v>
      </c>
      <c r="L5" s="1">
        <v>0.9</v>
      </c>
      <c r="M5" s="1">
        <f t="shared" si="1"/>
        <v>0.9</v>
      </c>
      <c r="N5" s="1">
        <v>2.7</v>
      </c>
      <c r="O5" s="1">
        <f t="shared" si="2"/>
        <v>2.7</v>
      </c>
      <c r="P5" s="1">
        <v>8</v>
      </c>
      <c r="Q5" s="1">
        <f t="shared" si="3"/>
        <v>8</v>
      </c>
      <c r="R5" s="1" t="s">
        <v>570</v>
      </c>
      <c r="S5" s="1" t="str">
        <f>PROPER(Table3[[#This Row],[Cancer_Type]])</f>
        <v>Skin</v>
      </c>
      <c r="T5" s="1" t="s">
        <v>590</v>
      </c>
      <c r="U5" s="4">
        <v>10195.07</v>
      </c>
      <c r="V5" s="1">
        <v>4</v>
      </c>
      <c r="W5" s="1">
        <f t="shared" ca="1" si="4"/>
        <v>4</v>
      </c>
      <c r="X5" s="1">
        <v>6.05</v>
      </c>
      <c r="Y5" s="1" t="str">
        <f t="shared" si="5"/>
        <v>Stage III</v>
      </c>
      <c r="Z5" s="10">
        <f t="shared" si="6"/>
        <v>10195.07</v>
      </c>
    </row>
    <row r="6" spans="1:26">
      <c r="A6" s="1" t="s">
        <v>400</v>
      </c>
      <c r="B6" s="1">
        <v>56</v>
      </c>
      <c r="C6" s="1" t="s">
        <v>542</v>
      </c>
      <c r="D6" s="1" t="str">
        <f>PROPER(Table3[[#This Row],[Gender]])</f>
        <v>Male</v>
      </c>
      <c r="E6" s="1" t="s">
        <v>552</v>
      </c>
      <c r="F6" s="1" t="str">
        <f>PROPER(Table3[[#This Row],[Country_Region]])</f>
        <v>China</v>
      </c>
      <c r="G6" s="1">
        <v>2022</v>
      </c>
      <c r="H6" s="1">
        <v>5.2</v>
      </c>
      <c r="I6" s="1">
        <f>IF(H6="", AVERAGEIF('CLEANED DATASET'!$G$2:$G$532,G6,'CLEANED DATASET'!$H392),H6)</f>
        <v>5.2</v>
      </c>
      <c r="J6" s="1">
        <v>3.7</v>
      </c>
      <c r="K6" s="1">
        <f t="shared" si="0"/>
        <v>3.7</v>
      </c>
      <c r="L6" s="1">
        <v>4.4000000000000004</v>
      </c>
      <c r="M6" s="1">
        <f t="shared" si="1"/>
        <v>4.4000000000000004</v>
      </c>
      <c r="N6" s="1">
        <v>3.8</v>
      </c>
      <c r="O6" s="1">
        <f t="shared" si="2"/>
        <v>3.8</v>
      </c>
      <c r="P6" s="1">
        <v>8.1</v>
      </c>
      <c r="Q6" s="1">
        <f t="shared" si="3"/>
        <v>8.1</v>
      </c>
      <c r="R6" s="1" t="s">
        <v>576</v>
      </c>
      <c r="S6" s="1" t="str">
        <f>PROPER(Table3[[#This Row],[Cancer_Type]])</f>
        <v>Cervical</v>
      </c>
      <c r="T6" s="1" t="s">
        <v>594</v>
      </c>
      <c r="U6" s="4">
        <v>8481.64</v>
      </c>
      <c r="V6" s="1">
        <v>2.2000000000000002</v>
      </c>
      <c r="W6" s="1">
        <f t="shared" ca="1" si="4"/>
        <v>6</v>
      </c>
      <c r="X6" s="1">
        <v>5.66</v>
      </c>
      <c r="Y6" s="1" t="str">
        <f t="shared" si="5"/>
        <v>Stage II</v>
      </c>
      <c r="Z6" s="10">
        <f t="shared" si="6"/>
        <v>8481.64</v>
      </c>
    </row>
    <row r="7" spans="1:26">
      <c r="A7" s="1" t="s">
        <v>29</v>
      </c>
      <c r="B7" s="1">
        <v>51</v>
      </c>
      <c r="C7" s="1" t="s">
        <v>542</v>
      </c>
      <c r="D7" s="1" t="str">
        <f>PROPER(Table3[[#This Row],[Gender]])</f>
        <v>Male</v>
      </c>
      <c r="E7" s="1" t="s">
        <v>550</v>
      </c>
      <c r="F7" s="1" t="str">
        <f>PROPER(Table3[[#This Row],[Country_Region]])</f>
        <v>Pakistan</v>
      </c>
      <c r="G7" s="1">
        <v>2024</v>
      </c>
      <c r="H7" s="1">
        <v>0.6</v>
      </c>
      <c r="I7" s="1">
        <f>IF(H7="", AVERAGEIF('CLEANED DATASET'!$G$2:$G$532,G7,'CLEANED DATASET'!$H21),H7)</f>
        <v>0.6</v>
      </c>
      <c r="J7" s="1">
        <v>9.6999999999999993</v>
      </c>
      <c r="K7" s="1">
        <f t="shared" si="0"/>
        <v>9.6999999999999993</v>
      </c>
      <c r="L7" s="1">
        <v>0.8</v>
      </c>
      <c r="M7" s="1">
        <f t="shared" si="1"/>
        <v>0.8</v>
      </c>
      <c r="N7" s="1"/>
      <c r="O7" s="3">
        <f t="shared" si="2"/>
        <v>5.0527607361963174</v>
      </c>
      <c r="P7" s="1"/>
      <c r="Q7" s="3">
        <f t="shared" si="3"/>
        <v>4.2546583850931681</v>
      </c>
      <c r="R7" s="1" t="s">
        <v>572</v>
      </c>
      <c r="S7" s="1" t="str">
        <f>PROPER(Table3[[#This Row],[Cancer_Type]])</f>
        <v>Leukemia</v>
      </c>
      <c r="T7" s="1" t="s">
        <v>594</v>
      </c>
      <c r="U7" s="4">
        <v>76197.009999999995</v>
      </c>
      <c r="V7" s="1">
        <v>4.2</v>
      </c>
      <c r="W7" s="1">
        <f t="shared" ca="1" si="4"/>
        <v>7</v>
      </c>
      <c r="X7" s="1">
        <v>3.16</v>
      </c>
      <c r="Y7" s="1" t="str">
        <f t="shared" si="5"/>
        <v>Stage I</v>
      </c>
      <c r="Z7" s="10">
        <f t="shared" si="6"/>
        <v>76197.009999999995</v>
      </c>
    </row>
    <row r="8" spans="1:26">
      <c r="A8" s="1" t="s">
        <v>530</v>
      </c>
      <c r="B8" s="1">
        <v>29</v>
      </c>
      <c r="C8" s="1" t="s">
        <v>543</v>
      </c>
      <c r="D8" s="1" t="str">
        <f>PROPER(Table3[[#This Row],[Gender]])</f>
        <v>Female</v>
      </c>
      <c r="E8" s="1" t="s">
        <v>550</v>
      </c>
      <c r="F8" s="1" t="str">
        <f>PROPER(Table3[[#This Row],[Country_Region]])</f>
        <v>Pakistan</v>
      </c>
      <c r="G8" s="1">
        <v>2022</v>
      </c>
      <c r="H8" s="1">
        <v>1</v>
      </c>
      <c r="I8" s="1">
        <f>IF(H8="", AVERAGEIF('CLEANED DATASET'!$G$2:$G$532,G8,'CLEANED DATASET'!$H522),H8)</f>
        <v>1</v>
      </c>
      <c r="J8" s="1">
        <v>9.1999999999999993</v>
      </c>
      <c r="K8" s="1">
        <f t="shared" si="0"/>
        <v>9.1999999999999993</v>
      </c>
      <c r="L8" s="1">
        <v>3.7</v>
      </c>
      <c r="M8" s="1">
        <f t="shared" si="1"/>
        <v>3.7</v>
      </c>
      <c r="N8" s="1">
        <v>3.4</v>
      </c>
      <c r="O8" s="1">
        <f t="shared" si="2"/>
        <v>3.4</v>
      </c>
      <c r="P8" s="1">
        <v>2.5</v>
      </c>
      <c r="Q8" s="1">
        <f t="shared" si="3"/>
        <v>2.5</v>
      </c>
      <c r="R8" s="1" t="s">
        <v>576</v>
      </c>
      <c r="S8" s="1" t="str">
        <f>PROPER(Table3[[#This Row],[Cancer_Type]])</f>
        <v>Cervical</v>
      </c>
      <c r="T8" s="1" t="s">
        <v>592</v>
      </c>
      <c r="U8" s="4"/>
      <c r="V8" s="1">
        <v>6.3</v>
      </c>
      <c r="W8" s="1">
        <f t="shared" ca="1" si="4"/>
        <v>6</v>
      </c>
      <c r="X8" s="1">
        <v>4.5</v>
      </c>
      <c r="Y8" s="1" t="str">
        <f t="shared" si="5"/>
        <v>Stage II</v>
      </c>
      <c r="Z8" s="9">
        <v>51711.040000000001</v>
      </c>
    </row>
    <row r="9" spans="1:26">
      <c r="A9" s="1" t="s">
        <v>276</v>
      </c>
      <c r="B9" s="1">
        <v>73</v>
      </c>
      <c r="C9" s="1" t="s">
        <v>541</v>
      </c>
      <c r="D9" s="1" t="str">
        <f>PROPER(Table3[[#This Row],[Gender]])</f>
        <v>Other</v>
      </c>
      <c r="E9" s="1" t="s">
        <v>554</v>
      </c>
      <c r="F9" s="1" t="str">
        <f>PROPER(Table3[[#This Row],[Country_Region]])</f>
        <v>Brazil</v>
      </c>
      <c r="G9" s="1">
        <v>2023</v>
      </c>
      <c r="H9" s="1">
        <v>8.5</v>
      </c>
      <c r="I9" s="1">
        <f>IF(H9="", AVERAGEIF('CLEANED DATASET'!$G$2:$G$532,G9,'CLEANED DATASET'!$H268),H9)</f>
        <v>8.5</v>
      </c>
      <c r="J9" s="1">
        <v>5.7</v>
      </c>
      <c r="K9" s="1">
        <f t="shared" si="0"/>
        <v>5.7</v>
      </c>
      <c r="L9" s="1">
        <v>0.6</v>
      </c>
      <c r="M9" s="1">
        <f t="shared" si="1"/>
        <v>0.6</v>
      </c>
      <c r="N9" s="1">
        <v>4.3</v>
      </c>
      <c r="O9" s="1">
        <f t="shared" si="2"/>
        <v>4.3</v>
      </c>
      <c r="P9" s="1">
        <v>2.9</v>
      </c>
      <c r="Q9" s="1">
        <f t="shared" si="3"/>
        <v>2.9</v>
      </c>
      <c r="R9" s="1" t="s">
        <v>578</v>
      </c>
      <c r="S9" s="1" t="str">
        <f>PROPER(Table3[[#This Row],[Cancer_Type]])</f>
        <v>Liver</v>
      </c>
      <c r="T9" s="1" t="s">
        <v>594</v>
      </c>
      <c r="U9" s="4">
        <v>60883.56</v>
      </c>
      <c r="V9" s="1">
        <v>10</v>
      </c>
      <c r="W9" s="1">
        <f t="shared" ca="1" si="4"/>
        <v>5</v>
      </c>
      <c r="X9" s="1">
        <v>4.58</v>
      </c>
      <c r="Y9" s="1" t="str">
        <f t="shared" si="5"/>
        <v>Stage II</v>
      </c>
      <c r="Z9" s="10">
        <f t="shared" ref="Z9:Z72" si="7">IF(U9&lt;&gt;"",U9,ROUND(AVERAGEIF(S9:S539,S9,U9:U539),2))</f>
        <v>60883.56</v>
      </c>
    </row>
    <row r="10" spans="1:26">
      <c r="A10" s="1" t="s">
        <v>493</v>
      </c>
      <c r="B10" s="1">
        <v>29</v>
      </c>
      <c r="C10" s="1" t="s">
        <v>546</v>
      </c>
      <c r="D10" s="1" t="str">
        <f>PROPER(Table3[[#This Row],[Gender]])</f>
        <v>Unknown</v>
      </c>
      <c r="E10" s="1" t="s">
        <v>553</v>
      </c>
      <c r="F10" s="1" t="str">
        <f>PROPER(Table3[[#This Row],[Country_Region]])</f>
        <v>Canada</v>
      </c>
      <c r="G10" s="1">
        <v>2024</v>
      </c>
      <c r="H10" s="1"/>
      <c r="I10" s="3">
        <f ca="1">IF(H10="", AVERAGEIF('CLEANED DATASET'!$G$2:$G$532,G10,'CLEANED DATASET'!$H485),H10)</f>
        <v>4.0736842105263156</v>
      </c>
      <c r="J10" s="1">
        <v>3.5</v>
      </c>
      <c r="K10" s="1">
        <f t="shared" si="0"/>
        <v>3.5</v>
      </c>
      <c r="L10" s="1">
        <v>7.1</v>
      </c>
      <c r="M10" s="1">
        <f t="shared" si="1"/>
        <v>7.1</v>
      </c>
      <c r="N10" s="1">
        <v>2.2000000000000002</v>
      </c>
      <c r="O10" s="1">
        <f t="shared" si="2"/>
        <v>2.2000000000000002</v>
      </c>
      <c r="P10" s="1">
        <v>3.6</v>
      </c>
      <c r="Q10" s="1">
        <f t="shared" si="3"/>
        <v>3.6</v>
      </c>
      <c r="R10" s="1" t="s">
        <v>579</v>
      </c>
      <c r="S10" s="1" t="str">
        <f>PROPER(Table3[[#This Row],[Cancer_Type]])</f>
        <v>Prostate</v>
      </c>
      <c r="T10" s="1" t="s">
        <v>593</v>
      </c>
      <c r="U10" s="4">
        <v>94485.75</v>
      </c>
      <c r="V10" s="1">
        <v>1.8</v>
      </c>
      <c r="W10" s="1">
        <f t="shared" ca="1" si="4"/>
        <v>8</v>
      </c>
      <c r="X10" s="1">
        <v>3.3</v>
      </c>
      <c r="Y10" s="1" t="str">
        <f t="shared" si="5"/>
        <v>Stage I</v>
      </c>
      <c r="Z10" s="10">
        <f t="shared" si="7"/>
        <v>94485.75</v>
      </c>
    </row>
    <row r="11" spans="1:26">
      <c r="A11" s="1" t="s">
        <v>168</v>
      </c>
      <c r="B11" s="1">
        <v>33</v>
      </c>
      <c r="C11" s="1" t="s">
        <v>543</v>
      </c>
      <c r="D11" s="1" t="str">
        <f>PROPER(Table3[[#This Row],[Gender]])</f>
        <v>Female</v>
      </c>
      <c r="E11" s="1" t="s">
        <v>550</v>
      </c>
      <c r="F11" s="1" t="str">
        <f>PROPER(Table3[[#This Row],[Country_Region]])</f>
        <v>Pakistan</v>
      </c>
      <c r="G11" s="1">
        <v>2023</v>
      </c>
      <c r="H11" s="1">
        <v>7.7</v>
      </c>
      <c r="I11" s="1">
        <f>IF(H11="", AVERAGEIF('CLEANED DATASET'!$G$2:$G$532,G11,'CLEANED DATASET'!$H160),H11)</f>
        <v>7.7</v>
      </c>
      <c r="J11" s="1">
        <v>4.5</v>
      </c>
      <c r="K11" s="1">
        <f t="shared" si="0"/>
        <v>4.5</v>
      </c>
      <c r="L11" s="1">
        <v>2.4</v>
      </c>
      <c r="M11" s="1">
        <f t="shared" si="1"/>
        <v>2.4</v>
      </c>
      <c r="N11" s="1">
        <v>2.2999999999999998</v>
      </c>
      <c r="O11" s="1">
        <f t="shared" si="2"/>
        <v>2.2999999999999998</v>
      </c>
      <c r="P11" s="1">
        <v>5.2</v>
      </c>
      <c r="Q11" s="1">
        <f t="shared" si="3"/>
        <v>5.2</v>
      </c>
      <c r="R11" s="1" t="s">
        <v>574</v>
      </c>
      <c r="S11" s="1" t="str">
        <f>PROPER(Table3[[#This Row],[Cancer_Type]])</f>
        <v>Colon</v>
      </c>
      <c r="T11" s="1" t="s">
        <v>590</v>
      </c>
      <c r="U11" s="4">
        <v>43439</v>
      </c>
      <c r="V11" s="1">
        <v>4.0999999999999996</v>
      </c>
      <c r="W11" s="1">
        <f t="shared" ca="1" si="4"/>
        <v>6</v>
      </c>
      <c r="X11" s="1">
        <v>4.6900000000000004</v>
      </c>
      <c r="Y11" s="1" t="str">
        <f t="shared" si="5"/>
        <v>Stage II</v>
      </c>
      <c r="Z11" s="10">
        <f t="shared" si="7"/>
        <v>43439</v>
      </c>
    </row>
    <row r="12" spans="1:26">
      <c r="A12" s="1" t="s">
        <v>302</v>
      </c>
      <c r="B12" s="1">
        <v>23</v>
      </c>
      <c r="C12" s="1" t="s">
        <v>541</v>
      </c>
      <c r="D12" s="1" t="str">
        <f>PROPER(Table3[[#This Row],[Gender]])</f>
        <v>Other</v>
      </c>
      <c r="E12" s="1" t="s">
        <v>628</v>
      </c>
      <c r="F12" s="1" t="str">
        <f>PROPER(Table3[[#This Row],[Country_Region]])</f>
        <v>India</v>
      </c>
      <c r="G12" s="1">
        <v>2024</v>
      </c>
      <c r="H12" s="1">
        <v>1.6</v>
      </c>
      <c r="I12" s="1">
        <f>IF(H12="", AVERAGEIF('CLEANED DATASET'!$G$2:$G$532,G12,'CLEANED DATASET'!$H294),H12)</f>
        <v>1.6</v>
      </c>
      <c r="J12" s="1">
        <v>0.5</v>
      </c>
      <c r="K12" s="1">
        <f t="shared" si="0"/>
        <v>0.5</v>
      </c>
      <c r="L12" s="1">
        <v>3.5</v>
      </c>
      <c r="M12" s="1">
        <f t="shared" si="1"/>
        <v>3.5</v>
      </c>
      <c r="N12" s="1">
        <v>4.5999999999999996</v>
      </c>
      <c r="O12" s="1">
        <f t="shared" si="2"/>
        <v>4.5999999999999996</v>
      </c>
      <c r="P12" s="1">
        <v>7.8</v>
      </c>
      <c r="Q12" s="1">
        <f t="shared" si="3"/>
        <v>7.8</v>
      </c>
      <c r="R12" s="1" t="s">
        <v>572</v>
      </c>
      <c r="S12" s="1" t="str">
        <f>PROPER(Table3[[#This Row],[Cancer_Type]])</f>
        <v>Leukemia</v>
      </c>
      <c r="T12" s="1" t="s">
        <v>594</v>
      </c>
      <c r="U12" s="4">
        <v>66140.429999999993</v>
      </c>
      <c r="V12" s="1">
        <v>6.8</v>
      </c>
      <c r="W12" s="1">
        <f t="shared" ca="1" si="4"/>
        <v>8</v>
      </c>
      <c r="X12" s="1">
        <v>3.3</v>
      </c>
      <c r="Y12" s="1" t="str">
        <f t="shared" si="5"/>
        <v>Stage I</v>
      </c>
      <c r="Z12" s="10">
        <f t="shared" si="7"/>
        <v>66140.429999999993</v>
      </c>
    </row>
    <row r="13" spans="1:26">
      <c r="A13" s="1" t="s">
        <v>534</v>
      </c>
      <c r="B13" s="1">
        <v>47</v>
      </c>
      <c r="C13" s="1" t="s">
        <v>542</v>
      </c>
      <c r="D13" s="1" t="str">
        <f>PROPER(Table3[[#This Row],[Gender]])</f>
        <v>Male</v>
      </c>
      <c r="E13" s="1" t="s">
        <v>560</v>
      </c>
      <c r="F13" s="1" t="str">
        <f>PROPER(Table3[[#This Row],[Country_Region]])</f>
        <v>Usa</v>
      </c>
      <c r="G13" s="1">
        <v>2024</v>
      </c>
      <c r="H13" s="1">
        <v>7.7</v>
      </c>
      <c r="I13" s="1">
        <f>IF(H13="", AVERAGEIF('CLEANED DATASET'!$G$2:$G$532,G13,'CLEANED DATASET'!$H526),H13)</f>
        <v>7.7</v>
      </c>
      <c r="J13" s="1">
        <v>0.9</v>
      </c>
      <c r="K13" s="1">
        <f t="shared" si="0"/>
        <v>0.9</v>
      </c>
      <c r="L13" s="1">
        <v>3</v>
      </c>
      <c r="M13" s="1">
        <f t="shared" si="1"/>
        <v>3</v>
      </c>
      <c r="N13" s="1">
        <v>6.5</v>
      </c>
      <c r="O13" s="1">
        <f t="shared" si="2"/>
        <v>6.5</v>
      </c>
      <c r="P13" s="1">
        <v>5.9</v>
      </c>
      <c r="Q13" s="1">
        <f t="shared" si="3"/>
        <v>5.9</v>
      </c>
      <c r="R13" s="1" t="s">
        <v>572</v>
      </c>
      <c r="S13" s="1" t="str">
        <f>PROPER(Table3[[#This Row],[Cancer_Type]])</f>
        <v>Leukemia</v>
      </c>
      <c r="T13" s="1" t="s">
        <v>591</v>
      </c>
      <c r="U13" s="8">
        <v>51804.21</v>
      </c>
      <c r="V13" s="1">
        <v>3.8</v>
      </c>
      <c r="W13" s="1">
        <f t="shared" ca="1" si="4"/>
        <v>6</v>
      </c>
      <c r="X13" s="1">
        <v>4.9800000000000004</v>
      </c>
      <c r="Y13" s="1" t="str">
        <f t="shared" si="5"/>
        <v>Stage II</v>
      </c>
      <c r="Z13" s="10">
        <f t="shared" si="7"/>
        <v>51804.21</v>
      </c>
    </row>
    <row r="14" spans="1:26">
      <c r="A14" s="1" t="s">
        <v>395</v>
      </c>
      <c r="B14" s="1">
        <v>48</v>
      </c>
      <c r="C14" s="1" t="s">
        <v>542</v>
      </c>
      <c r="D14" s="1" t="str">
        <f>PROPER(Table3[[#This Row],[Gender]])</f>
        <v>Male</v>
      </c>
      <c r="E14" s="1" t="s">
        <v>549</v>
      </c>
      <c r="F14" s="1" t="str">
        <f>PROPER(Table3[[#This Row],[Country_Region]])</f>
        <v>Australia</v>
      </c>
      <c r="G14" s="1">
        <v>2022</v>
      </c>
      <c r="H14" s="1">
        <v>4.5</v>
      </c>
      <c r="I14" s="1">
        <f>IF(H14="", AVERAGEIF('CLEANED DATASET'!$G$2:$G$532,G14,'CLEANED DATASET'!$H387),H14)</f>
        <v>4.5</v>
      </c>
      <c r="J14" s="1">
        <v>8.3000000000000007</v>
      </c>
      <c r="K14" s="1">
        <f t="shared" si="0"/>
        <v>8.3000000000000007</v>
      </c>
      <c r="L14" s="1">
        <v>5.9</v>
      </c>
      <c r="M14" s="1">
        <f t="shared" si="1"/>
        <v>5.9</v>
      </c>
      <c r="N14" s="1">
        <v>2.1</v>
      </c>
      <c r="O14" s="1">
        <f t="shared" si="2"/>
        <v>2.1</v>
      </c>
      <c r="P14" s="1">
        <v>7</v>
      </c>
      <c r="Q14" s="1">
        <f t="shared" si="3"/>
        <v>7</v>
      </c>
      <c r="R14" s="1" t="s">
        <v>572</v>
      </c>
      <c r="S14" s="1" t="str">
        <f>PROPER(Table3[[#This Row],[Cancer_Type]])</f>
        <v>Leukemia</v>
      </c>
      <c r="T14" s="1" t="s">
        <v>594</v>
      </c>
      <c r="U14" s="8">
        <v>67604.88</v>
      </c>
      <c r="V14" s="1">
        <v>0.3</v>
      </c>
      <c r="W14" s="1">
        <f t="shared" ca="1" si="4"/>
        <v>5</v>
      </c>
      <c r="X14" s="1">
        <v>4.8</v>
      </c>
      <c r="Y14" s="1" t="str">
        <f t="shared" si="5"/>
        <v>Stage II</v>
      </c>
      <c r="Z14" s="10">
        <f t="shared" si="7"/>
        <v>67604.88</v>
      </c>
    </row>
    <row r="15" spans="1:26">
      <c r="A15" s="1" t="s">
        <v>515</v>
      </c>
      <c r="B15" s="1">
        <v>82</v>
      </c>
      <c r="C15" s="1" t="s">
        <v>542</v>
      </c>
      <c r="D15" s="1" t="str">
        <f>PROPER(Table3[[#This Row],[Gender]])</f>
        <v>Male</v>
      </c>
      <c r="E15" s="1" t="s">
        <v>554</v>
      </c>
      <c r="F15" s="1" t="str">
        <f>PROPER(Table3[[#This Row],[Country_Region]])</f>
        <v>Brazil</v>
      </c>
      <c r="G15" s="1">
        <v>2024</v>
      </c>
      <c r="H15" s="1">
        <v>6.3</v>
      </c>
      <c r="I15" s="1">
        <f>IF(H15="", AVERAGEIF('CLEANED DATASET'!$G$2:$G$532,G15,'CLEANED DATASET'!$H507),H15)</f>
        <v>6.3</v>
      </c>
      <c r="J15" s="1">
        <v>6.4</v>
      </c>
      <c r="K15" s="1">
        <f t="shared" si="0"/>
        <v>6.4</v>
      </c>
      <c r="L15" s="1">
        <v>3.8</v>
      </c>
      <c r="M15" s="1">
        <f t="shared" si="1"/>
        <v>3.8</v>
      </c>
      <c r="N15" s="1">
        <v>8.1999999999999993</v>
      </c>
      <c r="O15" s="1">
        <f t="shared" si="2"/>
        <v>8.1999999999999993</v>
      </c>
      <c r="P15" s="1">
        <v>2.1</v>
      </c>
      <c r="Q15" s="1">
        <f t="shared" si="3"/>
        <v>2.1</v>
      </c>
      <c r="R15" s="1" t="s">
        <v>574</v>
      </c>
      <c r="S15" s="1" t="str">
        <f>PROPER(Table3[[#This Row],[Cancer_Type]])</f>
        <v>Colon</v>
      </c>
      <c r="T15" s="1" t="s">
        <v>593</v>
      </c>
      <c r="U15" s="4">
        <v>23446.240000000002</v>
      </c>
      <c r="V15" s="1">
        <v>8.1999999999999993</v>
      </c>
      <c r="W15" s="1">
        <f t="shared" ca="1" si="4"/>
        <v>4</v>
      </c>
      <c r="X15" s="1">
        <v>6.17</v>
      </c>
      <c r="Y15" s="1" t="str">
        <f t="shared" si="5"/>
        <v>Stage III</v>
      </c>
      <c r="Z15" s="10">
        <f t="shared" si="7"/>
        <v>23446.240000000002</v>
      </c>
    </row>
    <row r="16" spans="1:26">
      <c r="A16" s="1" t="s">
        <v>471</v>
      </c>
      <c r="B16" s="1">
        <v>39</v>
      </c>
      <c r="C16" s="1" t="s">
        <v>546</v>
      </c>
      <c r="D16" s="1" t="str">
        <f>PROPER(Table3[[#This Row],[Gender]])</f>
        <v>Unknown</v>
      </c>
      <c r="E16" s="1" t="s">
        <v>552</v>
      </c>
      <c r="F16" s="1" t="str">
        <f>PROPER(Table3[[#This Row],[Country_Region]])</f>
        <v>China</v>
      </c>
      <c r="G16" s="1">
        <v>2022</v>
      </c>
      <c r="H16" s="1">
        <v>8.5</v>
      </c>
      <c r="I16" s="1">
        <f>IF(H16="", AVERAGEIF('CLEANED DATASET'!$G$2:$G$532,G16,'CLEANED DATASET'!$H463),H16)</f>
        <v>8.5</v>
      </c>
      <c r="J16" s="1">
        <v>2.7</v>
      </c>
      <c r="K16" s="1">
        <f t="shared" si="0"/>
        <v>2.7</v>
      </c>
      <c r="L16" s="1">
        <v>6.6</v>
      </c>
      <c r="M16" s="1">
        <f t="shared" si="1"/>
        <v>6.6</v>
      </c>
      <c r="N16" s="1">
        <v>7.6</v>
      </c>
      <c r="O16" s="1">
        <f t="shared" si="2"/>
        <v>7.6</v>
      </c>
      <c r="P16" s="1">
        <v>8.8000000000000007</v>
      </c>
      <c r="Q16" s="1">
        <f t="shared" si="3"/>
        <v>8.8000000000000007</v>
      </c>
      <c r="R16" s="1" t="s">
        <v>571</v>
      </c>
      <c r="S16" s="1" t="str">
        <f>PROPER(Table3[[#This Row],[Cancer_Type]])</f>
        <v>Lung</v>
      </c>
      <c r="T16" s="1"/>
      <c r="U16" s="4">
        <v>73059.179999999993</v>
      </c>
      <c r="V16" s="1">
        <v>5.3</v>
      </c>
      <c r="W16" s="1">
        <f t="shared" ca="1" si="4"/>
        <v>3</v>
      </c>
      <c r="X16" s="1">
        <v>6.03</v>
      </c>
      <c r="Y16" s="1" t="str">
        <f t="shared" si="5"/>
        <v>Stage III</v>
      </c>
      <c r="Z16" s="10">
        <f t="shared" si="7"/>
        <v>73059.179999999993</v>
      </c>
    </row>
    <row r="17" spans="1:26">
      <c r="A17" s="1" t="s">
        <v>412</v>
      </c>
      <c r="B17" s="1">
        <v>76</v>
      </c>
      <c r="C17" s="1" t="s">
        <v>542</v>
      </c>
      <c r="D17" s="1" t="str">
        <f>PROPER(Table3[[#This Row],[Gender]])</f>
        <v>Male</v>
      </c>
      <c r="E17" s="1" t="s">
        <v>550</v>
      </c>
      <c r="F17" s="1" t="str">
        <f>PROPER(Table3[[#This Row],[Country_Region]])</f>
        <v>Pakistan</v>
      </c>
      <c r="G17" s="1">
        <v>2024</v>
      </c>
      <c r="H17" s="1">
        <v>0.7</v>
      </c>
      <c r="I17" s="1">
        <f>IF(H17="", AVERAGEIF('CLEANED DATASET'!$G$2:$G$532,G17,'CLEANED DATASET'!$H404),H17)</f>
        <v>0.7</v>
      </c>
      <c r="J17" s="1">
        <v>5.5</v>
      </c>
      <c r="K17" s="1">
        <f t="shared" si="0"/>
        <v>5.5</v>
      </c>
      <c r="L17" s="1">
        <v>7.7</v>
      </c>
      <c r="M17" s="1">
        <f t="shared" si="1"/>
        <v>7.7</v>
      </c>
      <c r="N17" s="1">
        <v>8.1</v>
      </c>
      <c r="O17" s="1">
        <f t="shared" si="2"/>
        <v>8.1</v>
      </c>
      <c r="P17" s="1">
        <v>1.3</v>
      </c>
      <c r="Q17" s="1">
        <f t="shared" si="3"/>
        <v>1.3</v>
      </c>
      <c r="R17" s="1" t="s">
        <v>574</v>
      </c>
      <c r="S17" s="1" t="str">
        <f>PROPER(Table3[[#This Row],[Cancer_Type]])</f>
        <v>Colon</v>
      </c>
      <c r="T17" s="1" t="s">
        <v>591</v>
      </c>
      <c r="U17" s="4">
        <v>38236.050000000003</v>
      </c>
      <c r="V17" s="1">
        <v>4</v>
      </c>
      <c r="W17" s="1">
        <f t="shared" ca="1" si="4"/>
        <v>6</v>
      </c>
      <c r="X17" s="1">
        <v>5.1100000000000003</v>
      </c>
      <c r="Y17" s="1" t="str">
        <f t="shared" si="5"/>
        <v>Stage II</v>
      </c>
      <c r="Z17" s="10">
        <f t="shared" si="7"/>
        <v>38236.050000000003</v>
      </c>
    </row>
    <row r="18" spans="1:26">
      <c r="A18" s="1" t="s">
        <v>69</v>
      </c>
      <c r="B18" s="1">
        <v>84</v>
      </c>
      <c r="C18" s="1" t="s">
        <v>543</v>
      </c>
      <c r="D18" s="1" t="str">
        <f>PROPER(Table3[[#This Row],[Gender]])</f>
        <v>Female</v>
      </c>
      <c r="E18" s="1" t="s">
        <v>554</v>
      </c>
      <c r="F18" s="1" t="str">
        <f>PROPER(Table3[[#This Row],[Country_Region]])</f>
        <v>Brazil</v>
      </c>
      <c r="G18" s="1">
        <v>2022</v>
      </c>
      <c r="H18" s="1">
        <v>8.4</v>
      </c>
      <c r="I18" s="1">
        <f>IF(H18="", AVERAGEIF('CLEANED DATASET'!$G$2:$G$532,G18,'CLEANED DATASET'!$H61),H18)</f>
        <v>8.4</v>
      </c>
      <c r="J18" s="1">
        <v>6.3</v>
      </c>
      <c r="K18" s="1">
        <f t="shared" si="0"/>
        <v>6.3</v>
      </c>
      <c r="L18" s="1">
        <v>1.9</v>
      </c>
      <c r="M18" s="1">
        <f t="shared" si="1"/>
        <v>1.9</v>
      </c>
      <c r="N18" s="1">
        <v>1.9</v>
      </c>
      <c r="O18" s="1">
        <f t="shared" si="2"/>
        <v>1.9</v>
      </c>
      <c r="P18" s="1">
        <v>8.5</v>
      </c>
      <c r="Q18" s="1">
        <f t="shared" si="3"/>
        <v>8.5</v>
      </c>
      <c r="R18" s="1" t="s">
        <v>601</v>
      </c>
      <c r="S18" s="1" t="str">
        <f>PROPER(Table3[[#This Row],[Cancer_Type]])</f>
        <v>Unknown</v>
      </c>
      <c r="T18" s="1" t="s">
        <v>592</v>
      </c>
      <c r="U18" s="4">
        <v>78070.97</v>
      </c>
      <c r="V18" s="1">
        <v>3.1</v>
      </c>
      <c r="W18" s="1">
        <f t="shared" ca="1" si="4"/>
        <v>6</v>
      </c>
      <c r="X18" s="1">
        <v>4.58</v>
      </c>
      <c r="Y18" s="1" t="str">
        <f t="shared" si="5"/>
        <v>Stage II</v>
      </c>
      <c r="Z18" s="10">
        <f t="shared" si="7"/>
        <v>78070.97</v>
      </c>
    </row>
    <row r="19" spans="1:26">
      <c r="A19" s="1" t="s">
        <v>120</v>
      </c>
      <c r="B19" s="1">
        <v>45</v>
      </c>
      <c r="C19" s="1" t="s">
        <v>542</v>
      </c>
      <c r="D19" s="1" t="str">
        <f>PROPER(Table3[[#This Row],[Gender]])</f>
        <v>Male</v>
      </c>
      <c r="E19" s="1" t="s">
        <v>551</v>
      </c>
      <c r="F19" s="1" t="str">
        <f>PROPER(Table3[[#This Row],[Country_Region]])</f>
        <v>Germany</v>
      </c>
      <c r="G19" s="1">
        <v>2024</v>
      </c>
      <c r="H19" s="1">
        <v>6</v>
      </c>
      <c r="I19" s="1">
        <f>IF(H19="", AVERAGEIF('CLEANED DATASET'!$G$2:$G$532,G19,'CLEANED DATASET'!$H112),H19)</f>
        <v>6</v>
      </c>
      <c r="J19" s="1">
        <v>5.7</v>
      </c>
      <c r="K19" s="1">
        <f t="shared" si="0"/>
        <v>5.7</v>
      </c>
      <c r="L19" s="1">
        <v>3.2</v>
      </c>
      <c r="M19" s="1">
        <f t="shared" si="1"/>
        <v>3.2</v>
      </c>
      <c r="N19" s="1">
        <v>1.2</v>
      </c>
      <c r="O19" s="1">
        <f t="shared" si="2"/>
        <v>1.2</v>
      </c>
      <c r="P19" s="1">
        <v>6.3</v>
      </c>
      <c r="Q19" s="1">
        <f t="shared" si="3"/>
        <v>6.3</v>
      </c>
      <c r="R19" s="1" t="s">
        <v>571</v>
      </c>
      <c r="S19" s="1" t="str">
        <f>PROPER(Table3[[#This Row],[Cancer_Type]])</f>
        <v>Lung</v>
      </c>
      <c r="T19" s="1"/>
      <c r="U19" s="4">
        <v>89146.62</v>
      </c>
      <c r="V19" s="1">
        <v>6.1</v>
      </c>
      <c r="W19" s="1">
        <f t="shared" ca="1" si="4"/>
        <v>8</v>
      </c>
      <c r="X19" s="1">
        <v>3.62</v>
      </c>
      <c r="Y19" s="1" t="str">
        <f t="shared" si="5"/>
        <v>Stage I</v>
      </c>
      <c r="Z19" s="10">
        <f t="shared" si="7"/>
        <v>89146.62</v>
      </c>
    </row>
    <row r="20" spans="1:26">
      <c r="A20" s="1" t="s">
        <v>333</v>
      </c>
      <c r="B20" s="1">
        <v>35</v>
      </c>
      <c r="C20" s="1" t="s">
        <v>546</v>
      </c>
      <c r="D20" s="1" t="str">
        <f>PROPER(Table3[[#This Row],[Gender]])</f>
        <v>Unknown</v>
      </c>
      <c r="E20" s="1" t="s">
        <v>554</v>
      </c>
      <c r="F20" s="1" t="str">
        <f>PROPER(Table3[[#This Row],[Country_Region]])</f>
        <v>Brazil</v>
      </c>
      <c r="G20" s="1">
        <v>2023</v>
      </c>
      <c r="H20" s="1">
        <v>3.3</v>
      </c>
      <c r="I20" s="1">
        <f>IF(H20="", AVERAGEIF('CLEANED DATASET'!$G$2:$G$532,G20,'CLEANED DATASET'!$H325),H20)</f>
        <v>3.3</v>
      </c>
      <c r="J20" s="1">
        <v>6.1</v>
      </c>
      <c r="K20" s="1">
        <f t="shared" si="0"/>
        <v>6.1</v>
      </c>
      <c r="L20" s="1">
        <v>0.8</v>
      </c>
      <c r="M20" s="1">
        <f t="shared" si="1"/>
        <v>0.8</v>
      </c>
      <c r="N20" s="1">
        <v>0.4</v>
      </c>
      <c r="O20" s="1">
        <f t="shared" si="2"/>
        <v>0.4</v>
      </c>
      <c r="P20" s="1">
        <v>9.8000000000000007</v>
      </c>
      <c r="Q20" s="1">
        <f t="shared" si="3"/>
        <v>9.8000000000000007</v>
      </c>
      <c r="R20" s="1" t="s">
        <v>603</v>
      </c>
      <c r="S20" s="1" t="str">
        <f>PROPER(Table3[[#This Row],[Cancer_Type]])</f>
        <v>Unknown</v>
      </c>
      <c r="T20" s="1"/>
      <c r="U20" s="4">
        <v>15035.87</v>
      </c>
      <c r="V20" s="1">
        <v>4.2</v>
      </c>
      <c r="W20" s="1">
        <f t="shared" ca="1" si="4"/>
        <v>6</v>
      </c>
      <c r="X20" s="1">
        <v>4.45</v>
      </c>
      <c r="Y20" s="1" t="str">
        <f t="shared" si="5"/>
        <v>Stage II</v>
      </c>
      <c r="Z20" s="10">
        <f t="shared" si="7"/>
        <v>15035.87</v>
      </c>
    </row>
    <row r="21" spans="1:26">
      <c r="A21" s="1" t="s">
        <v>117</v>
      </c>
      <c r="B21" s="1">
        <v>41</v>
      </c>
      <c r="C21" s="1" t="s">
        <v>543</v>
      </c>
      <c r="D21" s="1" t="str">
        <f>PROPER(Table3[[#This Row],[Gender]])</f>
        <v>Female</v>
      </c>
      <c r="E21" s="1" t="s">
        <v>551</v>
      </c>
      <c r="F21" s="1" t="str">
        <f>PROPER(Table3[[#This Row],[Country_Region]])</f>
        <v>Germany</v>
      </c>
      <c r="G21" s="1">
        <v>2022</v>
      </c>
      <c r="H21" s="1">
        <v>7.7</v>
      </c>
      <c r="I21" s="1">
        <f>IF(H21="", AVERAGEIF('CLEANED DATASET'!$G$2:$G$532,G21,'CLEANED DATASET'!$H109),H21)</f>
        <v>7.7</v>
      </c>
      <c r="J21" s="1">
        <v>8.5</v>
      </c>
      <c r="K21" s="1">
        <f t="shared" si="0"/>
        <v>8.5</v>
      </c>
      <c r="L21" s="1">
        <v>8.1999999999999993</v>
      </c>
      <c r="M21" s="1">
        <f t="shared" si="1"/>
        <v>8.1999999999999993</v>
      </c>
      <c r="N21" s="1">
        <v>5.4</v>
      </c>
      <c r="O21" s="1">
        <f t="shared" si="2"/>
        <v>5.4</v>
      </c>
      <c r="P21" s="1">
        <v>7.6</v>
      </c>
      <c r="Q21" s="1">
        <f t="shared" si="3"/>
        <v>7.6</v>
      </c>
      <c r="R21" s="1" t="s">
        <v>574</v>
      </c>
      <c r="S21" s="1" t="str">
        <f>PROPER(Table3[[#This Row],[Cancer_Type]])</f>
        <v>Colon</v>
      </c>
      <c r="T21" s="1"/>
      <c r="U21" s="4">
        <v>95857.65</v>
      </c>
      <c r="V21" s="1">
        <f>ROUND(10-((I21+K21+M21+O21+Q21)/5),1)</f>
        <v>2.5</v>
      </c>
      <c r="W21" s="1">
        <f t="shared" ca="1" si="4"/>
        <v>5</v>
      </c>
      <c r="X21" s="1">
        <v>5.97</v>
      </c>
      <c r="Y21" s="1" t="str">
        <f t="shared" si="5"/>
        <v>Stage II</v>
      </c>
      <c r="Z21" s="10">
        <f t="shared" si="7"/>
        <v>95857.65</v>
      </c>
    </row>
    <row r="22" spans="1:26">
      <c r="A22" s="1" t="s">
        <v>18</v>
      </c>
      <c r="B22" s="1">
        <v>24</v>
      </c>
      <c r="C22" s="1" t="s">
        <v>542</v>
      </c>
      <c r="D22" s="1" t="str">
        <f>PROPER(Table3[[#This Row],[Gender]])</f>
        <v>Male</v>
      </c>
      <c r="E22" s="1" t="s">
        <v>553</v>
      </c>
      <c r="F22" s="1" t="str">
        <f>PROPER(Table3[[#This Row],[Country_Region]])</f>
        <v>Canada</v>
      </c>
      <c r="G22" s="1">
        <v>2024</v>
      </c>
      <c r="H22" s="1">
        <v>6.7</v>
      </c>
      <c r="I22" s="1">
        <f>IF(H22="", AVERAGEIF('CLEANED DATASET'!$G$2:$G$532,G22,'CLEANED DATASET'!$H10),H22)</f>
        <v>6.7</v>
      </c>
      <c r="J22" s="1">
        <v>6.2</v>
      </c>
      <c r="K22" s="1">
        <f t="shared" si="0"/>
        <v>6.2</v>
      </c>
      <c r="L22" s="1">
        <v>0.5</v>
      </c>
      <c r="M22" s="1">
        <f t="shared" si="1"/>
        <v>0.5</v>
      </c>
      <c r="N22" s="1">
        <v>3.9</v>
      </c>
      <c r="O22" s="1">
        <f t="shared" si="2"/>
        <v>3.9</v>
      </c>
      <c r="P22" s="1">
        <v>9.4</v>
      </c>
      <c r="Q22" s="1">
        <f t="shared" si="3"/>
        <v>9.4</v>
      </c>
      <c r="R22" s="1" t="s">
        <v>573</v>
      </c>
      <c r="S22" s="1" t="str">
        <f>PROPER(Table3[[#This Row],[Cancer_Type]])</f>
        <v>Breast</v>
      </c>
      <c r="T22" s="1" t="s">
        <v>592</v>
      </c>
      <c r="U22" s="4">
        <v>23864.53</v>
      </c>
      <c r="V22" s="1">
        <v>6.2</v>
      </c>
      <c r="W22" s="1">
        <f t="shared" ca="1" si="4"/>
        <v>6</v>
      </c>
      <c r="X22" s="1">
        <v>5.59</v>
      </c>
      <c r="Y22" s="1" t="str">
        <f t="shared" si="5"/>
        <v>Stage II</v>
      </c>
      <c r="Z22" s="10">
        <f t="shared" si="7"/>
        <v>23864.53</v>
      </c>
    </row>
    <row r="23" spans="1:26">
      <c r="A23" s="1" t="s">
        <v>24</v>
      </c>
      <c r="B23" s="1">
        <v>22</v>
      </c>
      <c r="C23" s="1" t="s">
        <v>542</v>
      </c>
      <c r="D23" s="1" t="str">
        <f>PROPER(Table3[[#This Row],[Gender]])</f>
        <v>Male</v>
      </c>
      <c r="E23" s="1" t="s">
        <v>556</v>
      </c>
      <c r="F23" s="1" t="str">
        <f>PROPER(Table3[[#This Row],[Country_Region]])</f>
        <v>India</v>
      </c>
      <c r="G23" s="1">
        <v>2023</v>
      </c>
      <c r="H23" s="1">
        <v>4.2</v>
      </c>
      <c r="I23" s="1">
        <f>IF(H23="", AVERAGEIF('CLEANED DATASET'!$G$2:$G$532,G23,'CLEANED DATASET'!$H16),H23)</f>
        <v>4.2</v>
      </c>
      <c r="J23" s="1">
        <v>0.1</v>
      </c>
      <c r="K23" s="1">
        <f t="shared" si="0"/>
        <v>0.1</v>
      </c>
      <c r="L23" s="1">
        <v>6.9</v>
      </c>
      <c r="M23" s="1">
        <f t="shared" si="1"/>
        <v>6.9</v>
      </c>
      <c r="N23" s="1">
        <v>7.9</v>
      </c>
      <c r="O23" s="1">
        <f t="shared" si="2"/>
        <v>7.9</v>
      </c>
      <c r="P23" s="1">
        <v>0.9</v>
      </c>
      <c r="Q23" s="1">
        <f t="shared" si="3"/>
        <v>0.9</v>
      </c>
      <c r="R23" s="1" t="s">
        <v>546</v>
      </c>
      <c r="S23" s="1" t="str">
        <f>PROPER(Table3[[#This Row],[Cancer_Type]])</f>
        <v>Unknown</v>
      </c>
      <c r="T23" s="1" t="s">
        <v>591</v>
      </c>
      <c r="U23" s="4">
        <v>66182.17</v>
      </c>
      <c r="V23" s="1">
        <v>9</v>
      </c>
      <c r="W23" s="1">
        <f t="shared" ca="1" si="4"/>
        <v>5</v>
      </c>
      <c r="X23" s="1">
        <v>4.24</v>
      </c>
      <c r="Y23" s="1" t="str">
        <f t="shared" si="5"/>
        <v>Stage II</v>
      </c>
      <c r="Z23" s="10">
        <f t="shared" si="7"/>
        <v>66182.17</v>
      </c>
    </row>
    <row r="24" spans="1:26">
      <c r="A24" s="1" t="s">
        <v>191</v>
      </c>
      <c r="B24" s="1">
        <v>54</v>
      </c>
      <c r="C24" s="1" t="s">
        <v>546</v>
      </c>
      <c r="D24" s="1" t="str">
        <f>PROPER(Table3[[#This Row],[Gender]])</f>
        <v>Unknown</v>
      </c>
      <c r="E24" s="1" t="s">
        <v>568</v>
      </c>
      <c r="F24" s="1" t="str">
        <f>PROPER(Table3[[#This Row],[Country_Region]])</f>
        <v>Canada</v>
      </c>
      <c r="G24" s="1">
        <v>2023</v>
      </c>
      <c r="H24" s="1">
        <v>3.5</v>
      </c>
      <c r="I24" s="1">
        <f>IF(H24="", AVERAGEIF('CLEANED DATASET'!$G$2:$G$532,G24,'CLEANED DATASET'!$H183),H24)</f>
        <v>3.5</v>
      </c>
      <c r="J24" s="1">
        <v>5.2</v>
      </c>
      <c r="K24" s="1">
        <f t="shared" si="0"/>
        <v>5.2</v>
      </c>
      <c r="L24" s="1">
        <v>9.5</v>
      </c>
      <c r="M24" s="1">
        <f t="shared" si="1"/>
        <v>9.5</v>
      </c>
      <c r="N24" s="1">
        <v>5.2</v>
      </c>
      <c r="O24" s="1">
        <f t="shared" si="2"/>
        <v>5.2</v>
      </c>
      <c r="P24" s="1">
        <v>9.1</v>
      </c>
      <c r="Q24" s="1">
        <f t="shared" si="3"/>
        <v>9.1</v>
      </c>
      <c r="R24" s="1" t="s">
        <v>602</v>
      </c>
      <c r="S24" s="1" t="str">
        <f>PROPER(Table3[[#This Row],[Cancer_Type]])</f>
        <v>Unknown</v>
      </c>
      <c r="T24" s="1" t="s">
        <v>594</v>
      </c>
      <c r="U24" s="4">
        <v>98864.58</v>
      </c>
      <c r="V24" s="1">
        <v>7.4</v>
      </c>
      <c r="W24" s="1">
        <f t="shared" ca="1" si="4"/>
        <v>5</v>
      </c>
      <c r="X24" s="1">
        <v>4.88</v>
      </c>
      <c r="Y24" s="1" t="str">
        <f t="shared" si="5"/>
        <v>Stage II</v>
      </c>
      <c r="Z24" s="10">
        <f t="shared" si="7"/>
        <v>98864.58</v>
      </c>
    </row>
    <row r="25" spans="1:26">
      <c r="A25" s="1" t="s">
        <v>266</v>
      </c>
      <c r="B25" s="1">
        <v>79</v>
      </c>
      <c r="C25" s="1" t="s">
        <v>541</v>
      </c>
      <c r="D25" s="1" t="str">
        <f>PROPER(Table3[[#This Row],[Gender]])</f>
        <v>Other</v>
      </c>
      <c r="E25" s="1" t="s">
        <v>550</v>
      </c>
      <c r="F25" s="1" t="str">
        <f>PROPER(Table3[[#This Row],[Country_Region]])</f>
        <v>Pakistan</v>
      </c>
      <c r="G25" s="1">
        <v>2022</v>
      </c>
      <c r="H25" s="1">
        <v>1.2</v>
      </c>
      <c r="I25" s="1">
        <f>IF(H25="", AVERAGEIF('CLEANED DATASET'!$G$2:$G$532,G25,'CLEANED DATASET'!$H258),H25)</f>
        <v>1.2</v>
      </c>
      <c r="J25" s="1">
        <v>0.8</v>
      </c>
      <c r="K25" s="1">
        <f t="shared" si="0"/>
        <v>0.8</v>
      </c>
      <c r="L25" s="1"/>
      <c r="M25" s="3">
        <f t="shared" si="1"/>
        <v>4.8648148148148174</v>
      </c>
      <c r="N25" s="1">
        <v>3.4</v>
      </c>
      <c r="O25" s="1">
        <f t="shared" si="2"/>
        <v>3.4</v>
      </c>
      <c r="P25" s="1">
        <v>0.9</v>
      </c>
      <c r="Q25" s="1">
        <f t="shared" si="3"/>
        <v>0.9</v>
      </c>
      <c r="R25" s="1" t="s">
        <v>572</v>
      </c>
      <c r="S25" s="1" t="str">
        <f>PROPER(Table3[[#This Row],[Cancer_Type]])</f>
        <v>Leukemia</v>
      </c>
      <c r="T25" s="1" t="s">
        <v>590</v>
      </c>
      <c r="U25" s="4">
        <v>69802.05</v>
      </c>
      <c r="V25" s="1">
        <v>6.6</v>
      </c>
      <c r="W25" s="1">
        <f t="shared" ca="1" si="4"/>
        <v>7</v>
      </c>
      <c r="X25" s="1">
        <v>2.36</v>
      </c>
      <c r="Y25" s="1" t="str">
        <f t="shared" si="5"/>
        <v>Stage I</v>
      </c>
      <c r="Z25" s="10">
        <f t="shared" si="7"/>
        <v>69802.05</v>
      </c>
    </row>
    <row r="26" spans="1:26">
      <c r="A26" s="1" t="s">
        <v>143</v>
      </c>
      <c r="B26" s="1">
        <v>38</v>
      </c>
      <c r="C26" s="1" t="s">
        <v>542</v>
      </c>
      <c r="D26" s="1" t="str">
        <f>PROPER(Table3[[#This Row],[Gender]])</f>
        <v>Male</v>
      </c>
      <c r="E26" s="1" t="s">
        <v>553</v>
      </c>
      <c r="F26" s="1" t="str">
        <f>PROPER(Table3[[#This Row],[Country_Region]])</f>
        <v>Canada</v>
      </c>
      <c r="G26" s="1">
        <v>2022</v>
      </c>
      <c r="H26" s="1">
        <v>6.2</v>
      </c>
      <c r="I26" s="1">
        <f>IF(H26="", AVERAGEIF('CLEANED DATASET'!$G$2:$G$532,G26,'CLEANED DATASET'!$H135),H26)</f>
        <v>6.2</v>
      </c>
      <c r="J26" s="1">
        <v>5.7</v>
      </c>
      <c r="K26" s="1">
        <f t="shared" si="0"/>
        <v>5.7</v>
      </c>
      <c r="L26" s="1">
        <v>6.4</v>
      </c>
      <c r="M26" s="1">
        <f t="shared" si="1"/>
        <v>6.4</v>
      </c>
      <c r="N26" s="1"/>
      <c r="O26" s="3">
        <f t="shared" si="2"/>
        <v>4.6404907975460139</v>
      </c>
      <c r="P26" s="1">
        <v>3.4</v>
      </c>
      <c r="Q26" s="1">
        <f t="shared" si="3"/>
        <v>3.4</v>
      </c>
      <c r="R26" s="1" t="s">
        <v>573</v>
      </c>
      <c r="S26" s="1" t="str">
        <f>PROPER(Table3[[#This Row],[Cancer_Type]])</f>
        <v>Breast</v>
      </c>
      <c r="T26" s="1" t="s">
        <v>593</v>
      </c>
      <c r="U26" s="4">
        <v>59531.44</v>
      </c>
      <c r="V26" s="1">
        <v>6.5</v>
      </c>
      <c r="W26" s="1">
        <f t="shared" ca="1" si="4"/>
        <v>5</v>
      </c>
      <c r="X26" s="1">
        <v>5.04</v>
      </c>
      <c r="Y26" s="1" t="str">
        <f t="shared" si="5"/>
        <v>Stage II</v>
      </c>
      <c r="Z26" s="10">
        <f t="shared" si="7"/>
        <v>59531.44</v>
      </c>
    </row>
    <row r="27" spans="1:26">
      <c r="A27" s="1" t="s">
        <v>137</v>
      </c>
      <c r="B27" s="1">
        <v>41</v>
      </c>
      <c r="C27" s="1" t="s">
        <v>546</v>
      </c>
      <c r="D27" s="1" t="str">
        <f>PROPER(Table3[[#This Row],[Gender]])</f>
        <v>Unknown</v>
      </c>
      <c r="E27" s="1" t="s">
        <v>551</v>
      </c>
      <c r="F27" s="1" t="str">
        <f>PROPER(Table3[[#This Row],[Country_Region]])</f>
        <v>Germany</v>
      </c>
      <c r="G27" s="1">
        <v>2023</v>
      </c>
      <c r="H27" s="1">
        <v>0.7</v>
      </c>
      <c r="I27" s="1">
        <f>IF(H27="", AVERAGEIF('CLEANED DATASET'!$G$2:$G$532,G27,'CLEANED DATASET'!$H129),H27)</f>
        <v>0.7</v>
      </c>
      <c r="J27" s="1">
        <v>4.4000000000000004</v>
      </c>
      <c r="K27" s="1">
        <f t="shared" si="0"/>
        <v>4.4000000000000004</v>
      </c>
      <c r="L27" s="1">
        <v>7.1</v>
      </c>
      <c r="M27" s="1">
        <f t="shared" si="1"/>
        <v>7.1</v>
      </c>
      <c r="N27" s="1">
        <v>2</v>
      </c>
      <c r="O27" s="1">
        <f t="shared" si="2"/>
        <v>2</v>
      </c>
      <c r="P27" s="1">
        <v>2.6</v>
      </c>
      <c r="Q27" s="1">
        <f t="shared" si="3"/>
        <v>2.6</v>
      </c>
      <c r="R27" s="1" t="s">
        <v>576</v>
      </c>
      <c r="S27" s="1" t="str">
        <f>PROPER(Table3[[#This Row],[Cancer_Type]])</f>
        <v>Cervical</v>
      </c>
      <c r="T27" s="1" t="s">
        <v>592</v>
      </c>
      <c r="U27" s="4">
        <v>60800.41</v>
      </c>
      <c r="V27" s="1">
        <v>9.6999999999999993</v>
      </c>
      <c r="W27" s="1">
        <f t="shared" ca="1" si="4"/>
        <v>7</v>
      </c>
      <c r="X27" s="1">
        <v>3.31</v>
      </c>
      <c r="Y27" s="1" t="str">
        <f t="shared" si="5"/>
        <v>Stage I</v>
      </c>
      <c r="Z27" s="10">
        <f t="shared" si="7"/>
        <v>60800.41</v>
      </c>
    </row>
    <row r="28" spans="1:26">
      <c r="A28" s="1" t="s">
        <v>475</v>
      </c>
      <c r="B28" s="1">
        <v>50</v>
      </c>
      <c r="C28" s="1" t="s">
        <v>542</v>
      </c>
      <c r="D28" s="1" t="str">
        <f>PROPER(Table3[[#This Row],[Gender]])</f>
        <v>Male</v>
      </c>
      <c r="E28" s="5" t="s">
        <v>549</v>
      </c>
      <c r="F28" s="1" t="str">
        <f>PROPER(Table3[[#This Row],[Country_Region]])</f>
        <v>Australia</v>
      </c>
      <c r="G28" s="1">
        <v>2024</v>
      </c>
      <c r="H28" s="1">
        <v>9.1999999999999993</v>
      </c>
      <c r="I28" s="1">
        <f>IF(H28="", AVERAGEIF('CLEANED DATASET'!$G$2:$G$532,G28,'CLEANED DATASET'!$H467),H28)</f>
        <v>9.1999999999999993</v>
      </c>
      <c r="J28" s="1">
        <v>8.1999999999999993</v>
      </c>
      <c r="K28" s="1">
        <f t="shared" si="0"/>
        <v>8.1999999999999993</v>
      </c>
      <c r="L28" s="1">
        <v>4.5</v>
      </c>
      <c r="M28" s="1">
        <f t="shared" si="1"/>
        <v>4.5</v>
      </c>
      <c r="N28" s="1">
        <v>0.8</v>
      </c>
      <c r="O28" s="1">
        <f t="shared" si="2"/>
        <v>0.8</v>
      </c>
      <c r="P28" s="1">
        <v>8.8000000000000007</v>
      </c>
      <c r="Q28" s="1">
        <f t="shared" si="3"/>
        <v>8.8000000000000007</v>
      </c>
      <c r="R28" s="1" t="s">
        <v>571</v>
      </c>
      <c r="S28" s="1" t="str">
        <f>PROPER(Table3[[#This Row],[Cancer_Type]])</f>
        <v>Lung</v>
      </c>
      <c r="T28" s="1" t="s">
        <v>594</v>
      </c>
      <c r="U28" s="4">
        <v>46714.31</v>
      </c>
      <c r="V28" s="1">
        <v>2.6</v>
      </c>
      <c r="W28" s="1">
        <f t="shared" ca="1" si="4"/>
        <v>6</v>
      </c>
      <c r="X28" s="1">
        <v>5.85</v>
      </c>
      <c r="Y28" s="1" t="str">
        <f t="shared" si="5"/>
        <v>Stage II</v>
      </c>
      <c r="Z28" s="10">
        <f t="shared" si="7"/>
        <v>46714.31</v>
      </c>
    </row>
    <row r="29" spans="1:26">
      <c r="A29" s="1" t="s">
        <v>140</v>
      </c>
      <c r="B29" s="1">
        <v>42</v>
      </c>
      <c r="C29" s="1" t="s">
        <v>542</v>
      </c>
      <c r="D29" s="1" t="str">
        <f>PROPER(Table3[[#This Row],[Gender]])</f>
        <v>Male</v>
      </c>
      <c r="E29" s="1" t="s">
        <v>553</v>
      </c>
      <c r="F29" s="1" t="str">
        <f>PROPER(Table3[[#This Row],[Country_Region]])</f>
        <v>Canada</v>
      </c>
      <c r="G29" s="1">
        <v>2024</v>
      </c>
      <c r="H29" s="1">
        <v>1</v>
      </c>
      <c r="I29" s="1">
        <f>IF(H29="", AVERAGEIF('CLEANED DATASET'!$G$2:$G$532,G29,'CLEANED DATASET'!$H132),H29)</f>
        <v>1</v>
      </c>
      <c r="J29" s="1">
        <v>8.1999999999999993</v>
      </c>
      <c r="K29" s="1">
        <f t="shared" si="0"/>
        <v>8.1999999999999993</v>
      </c>
      <c r="L29" s="1">
        <v>0.4</v>
      </c>
      <c r="M29" s="1">
        <f t="shared" si="1"/>
        <v>0.4</v>
      </c>
      <c r="N29" s="1">
        <v>8.9</v>
      </c>
      <c r="O29" s="1">
        <f t="shared" si="2"/>
        <v>8.9</v>
      </c>
      <c r="P29" s="1">
        <v>0.6</v>
      </c>
      <c r="Q29" s="1">
        <f t="shared" si="3"/>
        <v>0.6</v>
      </c>
      <c r="R29" s="1" t="s">
        <v>578</v>
      </c>
      <c r="S29" s="1" t="str">
        <f>PROPER(Table3[[#This Row],[Cancer_Type]])</f>
        <v>Liver</v>
      </c>
      <c r="T29" s="1" t="s">
        <v>594</v>
      </c>
      <c r="U29" s="4">
        <v>93205.45</v>
      </c>
      <c r="V29" s="1">
        <v>5.7</v>
      </c>
      <c r="W29" s="1">
        <f t="shared" ca="1" si="4"/>
        <v>2</v>
      </c>
      <c r="X29" s="3">
        <f>ROUND(I29+K29+M29+O29+Q29+(10-V29)/6, 2)</f>
        <v>19.82</v>
      </c>
      <c r="Y29" s="1" t="str">
        <f t="shared" si="5"/>
        <v>Stage IV</v>
      </c>
      <c r="Z29" s="10">
        <f t="shared" si="7"/>
        <v>93205.45</v>
      </c>
    </row>
    <row r="30" spans="1:26">
      <c r="A30" s="1" t="s">
        <v>359</v>
      </c>
      <c r="B30" s="1">
        <v>50</v>
      </c>
      <c r="C30" s="1" t="s">
        <v>542</v>
      </c>
      <c r="D30" s="1" t="str">
        <f>PROPER(Table3[[#This Row],[Gender]])</f>
        <v>Male</v>
      </c>
      <c r="E30" s="5" t="s">
        <v>559</v>
      </c>
      <c r="F30" s="1" t="str">
        <f>PROPER(Table3[[#This Row],[Country_Region]])</f>
        <v>Russia</v>
      </c>
      <c r="G30" s="1">
        <v>2024</v>
      </c>
      <c r="H30" s="1">
        <v>0.9</v>
      </c>
      <c r="I30" s="1">
        <f>IF(H30="", AVERAGEIF('CLEANED DATASET'!$G$2:$G$532,G30,'CLEANED DATASET'!$H351),H30)</f>
        <v>0.9</v>
      </c>
      <c r="J30" s="1">
        <v>1.2</v>
      </c>
      <c r="K30" s="1">
        <f t="shared" si="0"/>
        <v>1.2</v>
      </c>
      <c r="L30" s="1">
        <v>4.5</v>
      </c>
      <c r="M30" s="1">
        <f t="shared" si="1"/>
        <v>4.5</v>
      </c>
      <c r="N30" s="1">
        <v>7.3</v>
      </c>
      <c r="O30" s="1">
        <f t="shared" si="2"/>
        <v>7.3</v>
      </c>
      <c r="P30" s="1">
        <v>1</v>
      </c>
      <c r="Q30" s="1">
        <f t="shared" si="3"/>
        <v>1</v>
      </c>
      <c r="R30" s="1" t="s">
        <v>571</v>
      </c>
      <c r="S30" s="1" t="str">
        <f>PROPER(Table3[[#This Row],[Cancer_Type]])</f>
        <v>Lung</v>
      </c>
      <c r="T30" s="1" t="s">
        <v>593</v>
      </c>
      <c r="U30" s="4">
        <v>8993.81</v>
      </c>
      <c r="V30" s="1">
        <v>3.3</v>
      </c>
      <c r="W30" s="1">
        <f t="shared" ca="1" si="4"/>
        <v>5</v>
      </c>
      <c r="X30" s="1">
        <v>4.42</v>
      </c>
      <c r="Y30" s="1" t="str">
        <f t="shared" si="5"/>
        <v>Stage II</v>
      </c>
      <c r="Z30" s="10">
        <f t="shared" si="7"/>
        <v>8993.81</v>
      </c>
    </row>
    <row r="31" spans="1:26">
      <c r="A31" s="1" t="s">
        <v>148</v>
      </c>
      <c r="B31" s="1">
        <v>30</v>
      </c>
      <c r="C31" s="1" t="s">
        <v>541</v>
      </c>
      <c r="D31" s="1" t="str">
        <f>PROPER(Table3[[#This Row],[Gender]])</f>
        <v>Other</v>
      </c>
      <c r="E31" s="1" t="s">
        <v>555</v>
      </c>
      <c r="F31" s="1" t="str">
        <f>PROPER(Table3[[#This Row],[Country_Region]])</f>
        <v>Russia</v>
      </c>
      <c r="G31" s="1">
        <v>2024</v>
      </c>
      <c r="H31" s="1">
        <v>6.3</v>
      </c>
      <c r="I31" s="1">
        <f>IF(H31="", AVERAGEIF('CLEANED DATASET'!$G$2:$G$532,G31,'CLEANED DATASET'!$H140),H31)</f>
        <v>6.3</v>
      </c>
      <c r="J31" s="1">
        <v>8</v>
      </c>
      <c r="K31" s="1">
        <f t="shared" si="0"/>
        <v>8</v>
      </c>
      <c r="L31" s="1">
        <v>7.6</v>
      </c>
      <c r="M31" s="1">
        <f t="shared" si="1"/>
        <v>7.6</v>
      </c>
      <c r="N31" s="1">
        <v>6.2</v>
      </c>
      <c r="O31" s="1">
        <f t="shared" si="2"/>
        <v>6.2</v>
      </c>
      <c r="P31" s="1">
        <v>2.5</v>
      </c>
      <c r="Q31" s="1">
        <f t="shared" si="3"/>
        <v>2.5</v>
      </c>
      <c r="R31" s="1" t="s">
        <v>574</v>
      </c>
      <c r="S31" s="1" t="str">
        <f>PROPER(Table3[[#This Row],[Cancer_Type]])</f>
        <v>Colon</v>
      </c>
      <c r="T31" s="1" t="s">
        <v>594</v>
      </c>
      <c r="U31" s="4">
        <v>23062.07</v>
      </c>
      <c r="V31" s="1">
        <v>1.8</v>
      </c>
      <c r="W31" s="1">
        <f t="shared" ca="1" si="4"/>
        <v>4</v>
      </c>
      <c r="X31" s="1">
        <v>6.63</v>
      </c>
      <c r="Y31" s="1" t="str">
        <f t="shared" si="5"/>
        <v>Stage III</v>
      </c>
      <c r="Z31" s="10">
        <f t="shared" si="7"/>
        <v>23062.07</v>
      </c>
    </row>
    <row r="32" spans="1:26">
      <c r="A32" s="1" t="s">
        <v>245</v>
      </c>
      <c r="B32" s="1">
        <v>67</v>
      </c>
      <c r="C32" s="1" t="s">
        <v>542</v>
      </c>
      <c r="D32" s="1" t="str">
        <f>PROPER(Table3[[#This Row],[Gender]])</f>
        <v>Male</v>
      </c>
      <c r="E32" s="1" t="s">
        <v>554</v>
      </c>
      <c r="F32" s="1" t="str">
        <f>PROPER(Table3[[#This Row],[Country_Region]])</f>
        <v>Brazil</v>
      </c>
      <c r="G32" s="1">
        <v>2024</v>
      </c>
      <c r="H32" s="1">
        <v>5.7</v>
      </c>
      <c r="I32" s="1">
        <f>IF(H32="", AVERAGEIF('CLEANED DATASET'!$G$2:$G$532,G32,'CLEANED DATASET'!$H237),H32)</f>
        <v>5.7</v>
      </c>
      <c r="J32" s="1"/>
      <c r="K32" s="1">
        <f t="shared" si="0"/>
        <v>4.8</v>
      </c>
      <c r="L32" s="1">
        <v>7.4</v>
      </c>
      <c r="M32" s="1">
        <f t="shared" si="1"/>
        <v>7.4</v>
      </c>
      <c r="N32" s="1">
        <v>2.2000000000000002</v>
      </c>
      <c r="O32" s="1">
        <f t="shared" si="2"/>
        <v>2.2000000000000002</v>
      </c>
      <c r="P32" s="1">
        <v>7</v>
      </c>
      <c r="Q32" s="1">
        <f t="shared" si="3"/>
        <v>7</v>
      </c>
      <c r="R32" s="1" t="s">
        <v>572</v>
      </c>
      <c r="S32" s="1" t="str">
        <f>PROPER(Table3[[#This Row],[Cancer_Type]])</f>
        <v>Leukemia</v>
      </c>
      <c r="T32" s="1" t="s">
        <v>592</v>
      </c>
      <c r="U32" s="4">
        <v>13404.04</v>
      </c>
      <c r="V32" s="1">
        <v>6.1</v>
      </c>
      <c r="W32" s="1">
        <f t="shared" ca="1" si="4"/>
        <v>4</v>
      </c>
      <c r="X32" s="1">
        <v>6.07</v>
      </c>
      <c r="Y32" s="1" t="str">
        <f t="shared" si="5"/>
        <v>Stage III</v>
      </c>
      <c r="Z32" s="10">
        <f t="shared" si="7"/>
        <v>13404.04</v>
      </c>
    </row>
    <row r="33" spans="1:26">
      <c r="A33" s="1" t="s">
        <v>347</v>
      </c>
      <c r="B33" s="1">
        <v>74</v>
      </c>
      <c r="C33" s="1" t="s">
        <v>541</v>
      </c>
      <c r="D33" s="1" t="str">
        <f>PROPER(Table3[[#This Row],[Gender]])</f>
        <v>Other</v>
      </c>
      <c r="E33" s="1" t="s">
        <v>551</v>
      </c>
      <c r="F33" s="1" t="str">
        <f>PROPER(Table3[[#This Row],[Country_Region]])</f>
        <v>Germany</v>
      </c>
      <c r="G33" s="1">
        <v>2024</v>
      </c>
      <c r="H33" s="1">
        <v>6.3</v>
      </c>
      <c r="I33" s="1">
        <f>IF(H33="", AVERAGEIF('CLEANED DATASET'!$G$2:$G$532,G33,'CLEANED DATASET'!$H339),H33)</f>
        <v>6.3</v>
      </c>
      <c r="J33" s="1">
        <v>4.8</v>
      </c>
      <c r="K33" s="1">
        <f t="shared" si="0"/>
        <v>4.8</v>
      </c>
      <c r="L33" s="1">
        <v>4.9000000000000004</v>
      </c>
      <c r="M33" s="1">
        <f t="shared" si="1"/>
        <v>4.9000000000000004</v>
      </c>
      <c r="N33" s="1">
        <v>9.1</v>
      </c>
      <c r="O33" s="1">
        <f t="shared" si="2"/>
        <v>9.1</v>
      </c>
      <c r="P33" s="1">
        <v>1.2</v>
      </c>
      <c r="Q33" s="1">
        <f t="shared" si="3"/>
        <v>1.2</v>
      </c>
      <c r="R33" s="1" t="s">
        <v>572</v>
      </c>
      <c r="S33" s="1" t="str">
        <f>PROPER(Table3[[#This Row],[Cancer_Type]])</f>
        <v>Leukemia</v>
      </c>
      <c r="T33" s="1" t="s">
        <v>590</v>
      </c>
      <c r="U33" s="4">
        <v>65768.34</v>
      </c>
      <c r="V33" s="1">
        <v>7.4</v>
      </c>
      <c r="W33" s="1">
        <f t="shared" ca="1" si="4"/>
        <v>6</v>
      </c>
      <c r="X33" s="1">
        <v>5.34</v>
      </c>
      <c r="Y33" s="1" t="str">
        <f t="shared" si="5"/>
        <v>Stage II</v>
      </c>
      <c r="Z33" s="10">
        <f t="shared" si="7"/>
        <v>65768.34</v>
      </c>
    </row>
    <row r="34" spans="1:26">
      <c r="A34" s="1" t="s">
        <v>506</v>
      </c>
      <c r="B34" s="1">
        <v>59</v>
      </c>
      <c r="C34" s="1" t="s">
        <v>542</v>
      </c>
      <c r="D34" s="1" t="str">
        <f>PROPER(Table3[[#This Row],[Gender]])</f>
        <v>Male</v>
      </c>
      <c r="E34" s="5" t="s">
        <v>556</v>
      </c>
      <c r="F34" s="1" t="str">
        <f>PROPER(Table3[[#This Row],[Country_Region]])</f>
        <v>India</v>
      </c>
      <c r="G34" s="1">
        <v>2023</v>
      </c>
      <c r="H34" s="1">
        <v>1.7</v>
      </c>
      <c r="I34" s="1">
        <f>IF(H34="", AVERAGEIF('CLEANED DATASET'!$G$2:$G$532,G34,'CLEANED DATASET'!$H498),H34)</f>
        <v>1.7</v>
      </c>
      <c r="J34" s="1">
        <v>5.3</v>
      </c>
      <c r="K34" s="1">
        <f t="shared" si="0"/>
        <v>5.3</v>
      </c>
      <c r="L34" s="1">
        <v>3.9</v>
      </c>
      <c r="M34" s="1">
        <f t="shared" si="1"/>
        <v>3.9</v>
      </c>
      <c r="N34" s="1">
        <v>3</v>
      </c>
      <c r="O34" s="1">
        <f t="shared" si="2"/>
        <v>3</v>
      </c>
      <c r="P34" s="1">
        <v>5.2</v>
      </c>
      <c r="Q34" s="1">
        <f t="shared" ref="Q34:Q65" si="8">IF(P34="",AVERAGEIF(G34:G564,G34,P34:P564),P34)</f>
        <v>5.2</v>
      </c>
      <c r="R34" s="1" t="s">
        <v>576</v>
      </c>
      <c r="S34" s="1" t="str">
        <f>PROPER(Table3[[#This Row],[Cancer_Type]])</f>
        <v>Cervical</v>
      </c>
      <c r="T34" s="1"/>
      <c r="U34" s="4">
        <v>69969.009999999995</v>
      </c>
      <c r="V34" s="1">
        <v>4.5999999999999996</v>
      </c>
      <c r="W34" s="1">
        <f t="shared" ca="1" si="4"/>
        <v>8</v>
      </c>
      <c r="X34" s="1">
        <v>3.44</v>
      </c>
      <c r="Y34" s="1" t="str">
        <f t="shared" si="5"/>
        <v>Stage I</v>
      </c>
      <c r="Z34" s="10">
        <f t="shared" si="7"/>
        <v>69969.009999999995</v>
      </c>
    </row>
    <row r="35" spans="1:26">
      <c r="A35" s="1" t="s">
        <v>436</v>
      </c>
      <c r="B35" s="1">
        <v>33</v>
      </c>
      <c r="C35" s="1" t="s">
        <v>543</v>
      </c>
      <c r="D35" s="1" t="str">
        <f>PROPER(Table3[[#This Row],[Gender]])</f>
        <v>Female</v>
      </c>
      <c r="E35" s="1" t="s">
        <v>548</v>
      </c>
      <c r="F35" s="1" t="str">
        <f>PROPER(Table3[[#This Row],[Country_Region]])</f>
        <v>Uk</v>
      </c>
      <c r="G35" s="1">
        <v>2024</v>
      </c>
      <c r="H35" s="1">
        <v>4.8</v>
      </c>
      <c r="I35" s="1">
        <f>IF(H35="", AVERAGEIF('CLEANED DATASET'!$G$2:$G$532,G35,'CLEANED DATASET'!$H428),H35)</f>
        <v>4.8</v>
      </c>
      <c r="J35" s="1">
        <v>9.6</v>
      </c>
      <c r="K35" s="1">
        <f t="shared" si="0"/>
        <v>9.6</v>
      </c>
      <c r="L35" s="1">
        <v>3</v>
      </c>
      <c r="M35" s="1">
        <f t="shared" si="1"/>
        <v>3</v>
      </c>
      <c r="N35" s="1">
        <v>2.2999999999999998</v>
      </c>
      <c r="O35" s="1">
        <f t="shared" si="2"/>
        <v>2.2999999999999998</v>
      </c>
      <c r="P35" s="1"/>
      <c r="Q35" s="1">
        <f t="shared" si="8"/>
        <v>4.2398648648648649</v>
      </c>
      <c r="R35" s="1" t="s">
        <v>571</v>
      </c>
      <c r="S35" s="1" t="str">
        <f>PROPER(Table3[[#This Row],[Cancer_Type]])</f>
        <v>Lung</v>
      </c>
      <c r="T35" s="1" t="s">
        <v>594</v>
      </c>
      <c r="U35" s="4">
        <v>93182.85</v>
      </c>
      <c r="V35" s="1">
        <v>8.1</v>
      </c>
      <c r="W35" s="1">
        <f t="shared" ca="1" si="4"/>
        <v>6</v>
      </c>
      <c r="X35" s="1">
        <v>4.17</v>
      </c>
      <c r="Y35" s="1" t="str">
        <f t="shared" si="5"/>
        <v>Stage II</v>
      </c>
      <c r="Z35" s="10">
        <f t="shared" si="7"/>
        <v>93182.85</v>
      </c>
    </row>
    <row r="36" spans="1:26">
      <c r="A36" s="1" t="s">
        <v>504</v>
      </c>
      <c r="B36" s="1">
        <v>24</v>
      </c>
      <c r="C36" s="1" t="s">
        <v>541</v>
      </c>
      <c r="D36" s="1" t="str">
        <f>PROPER(Table3[[#This Row],[Gender]])</f>
        <v>Other</v>
      </c>
      <c r="E36" s="1" t="s">
        <v>552</v>
      </c>
      <c r="F36" s="1" t="str">
        <f>PROPER(Table3[[#This Row],[Country_Region]])</f>
        <v>China</v>
      </c>
      <c r="G36" s="1">
        <v>2023</v>
      </c>
      <c r="H36" s="1">
        <v>6.6</v>
      </c>
      <c r="I36" s="1">
        <f>IF(H36="", AVERAGEIF('CLEANED DATASET'!$G$2:$G$532,G36,'CLEANED DATASET'!$H496),H36)</f>
        <v>6.6</v>
      </c>
      <c r="J36" s="1">
        <v>2</v>
      </c>
      <c r="K36" s="1">
        <f t="shared" si="0"/>
        <v>2</v>
      </c>
      <c r="L36" s="1">
        <v>5.8</v>
      </c>
      <c r="M36" s="1">
        <f t="shared" si="1"/>
        <v>5.8</v>
      </c>
      <c r="N36" s="1">
        <v>5.3</v>
      </c>
      <c r="O36" s="1">
        <f t="shared" si="2"/>
        <v>5.3</v>
      </c>
      <c r="P36" s="1">
        <v>0.6</v>
      </c>
      <c r="Q36" s="1">
        <f t="shared" si="8"/>
        <v>0.6</v>
      </c>
      <c r="R36" s="1" t="s">
        <v>573</v>
      </c>
      <c r="S36" s="1" t="str">
        <f>PROPER(Table3[[#This Row],[Cancer_Type]])</f>
        <v>Breast</v>
      </c>
      <c r="T36" s="1" t="s">
        <v>592</v>
      </c>
      <c r="U36" s="4">
        <v>41115.230000000003</v>
      </c>
      <c r="V36" s="1">
        <v>4.3</v>
      </c>
      <c r="W36" s="1">
        <f t="shared" ca="1" si="4"/>
        <v>5</v>
      </c>
      <c r="X36" s="1">
        <v>4.79</v>
      </c>
      <c r="Y36" s="1" t="str">
        <f t="shared" si="5"/>
        <v>Stage II</v>
      </c>
      <c r="Z36" s="10">
        <f t="shared" si="7"/>
        <v>41115.230000000003</v>
      </c>
    </row>
    <row r="37" spans="1:26">
      <c r="A37" s="1" t="s">
        <v>405</v>
      </c>
      <c r="B37" s="1">
        <v>41</v>
      </c>
      <c r="C37" s="1" t="s">
        <v>542</v>
      </c>
      <c r="D37" s="1" t="str">
        <f>PROPER(Table3[[#This Row],[Gender]])</f>
        <v>Male</v>
      </c>
      <c r="E37" s="1" t="s">
        <v>551</v>
      </c>
      <c r="F37" s="1" t="str">
        <f>PROPER(Table3[[#This Row],[Country_Region]])</f>
        <v>Germany</v>
      </c>
      <c r="G37" s="1">
        <v>2022</v>
      </c>
      <c r="H37" s="1">
        <v>1.9</v>
      </c>
      <c r="I37" s="1">
        <f>IF(H37="", AVERAGEIF('CLEANED DATASET'!$G$2:$G$532,G37,'CLEANED DATASET'!$H397),H37)</f>
        <v>1.9</v>
      </c>
      <c r="J37" s="1">
        <v>3.2</v>
      </c>
      <c r="K37" s="1">
        <f t="shared" si="0"/>
        <v>3.2</v>
      </c>
      <c r="L37" s="1">
        <v>6.9</v>
      </c>
      <c r="M37" s="1">
        <f t="shared" si="1"/>
        <v>6.9</v>
      </c>
      <c r="N37" s="1">
        <v>8.9</v>
      </c>
      <c r="O37" s="1">
        <f t="shared" si="2"/>
        <v>8.9</v>
      </c>
      <c r="P37" s="1">
        <v>6</v>
      </c>
      <c r="Q37" s="1">
        <f t="shared" si="8"/>
        <v>6</v>
      </c>
      <c r="R37" s="1" t="s">
        <v>574</v>
      </c>
      <c r="S37" s="1" t="str">
        <f>PROPER(Table3[[#This Row],[Cancer_Type]])</f>
        <v>Colon</v>
      </c>
      <c r="T37" s="1" t="s">
        <v>593</v>
      </c>
      <c r="U37" s="4">
        <v>29291.96</v>
      </c>
      <c r="V37" s="1">
        <v>3.2</v>
      </c>
      <c r="W37" s="1">
        <f t="shared" ca="1" si="4"/>
        <v>5</v>
      </c>
      <c r="X37" s="1">
        <v>5.69</v>
      </c>
      <c r="Y37" s="1" t="str">
        <f t="shared" si="5"/>
        <v>Stage II</v>
      </c>
      <c r="Z37" s="10">
        <f t="shared" si="7"/>
        <v>29291.96</v>
      </c>
    </row>
    <row r="38" spans="1:26">
      <c r="A38" s="1" t="s">
        <v>111</v>
      </c>
      <c r="B38" s="1">
        <v>54</v>
      </c>
      <c r="C38" s="1" t="s">
        <v>542</v>
      </c>
      <c r="D38" s="1" t="str">
        <f>PROPER(Table3[[#This Row],[Gender]])</f>
        <v>Male</v>
      </c>
      <c r="E38" s="1" t="s">
        <v>624</v>
      </c>
      <c r="F38" s="1" t="str">
        <f>PROPER(Table3[[#This Row],[Country_Region]])</f>
        <v>China</v>
      </c>
      <c r="G38" s="1">
        <v>2024</v>
      </c>
      <c r="H38" s="1">
        <v>5</v>
      </c>
      <c r="I38" s="1">
        <f>IF(H38="", AVERAGEIF('CLEANED DATASET'!$G$2:$G$532,G38,'CLEANED DATASET'!$H103),H38)</f>
        <v>5</v>
      </c>
      <c r="J38" s="1">
        <v>0.8</v>
      </c>
      <c r="K38" s="1">
        <f t="shared" si="0"/>
        <v>0.8</v>
      </c>
      <c r="L38" s="1">
        <v>7.7</v>
      </c>
      <c r="M38" s="1">
        <f t="shared" si="1"/>
        <v>7.7</v>
      </c>
      <c r="N38" s="1">
        <v>3.4</v>
      </c>
      <c r="O38" s="1">
        <f t="shared" si="2"/>
        <v>3.4</v>
      </c>
      <c r="P38" s="1">
        <v>4</v>
      </c>
      <c r="Q38" s="1">
        <f t="shared" si="8"/>
        <v>4</v>
      </c>
      <c r="R38" s="1" t="s">
        <v>576</v>
      </c>
      <c r="S38" s="1" t="str">
        <f>PROPER(Table3[[#This Row],[Cancer_Type]])</f>
        <v>Cervical</v>
      </c>
      <c r="T38" s="1" t="s">
        <v>593</v>
      </c>
      <c r="U38" s="4">
        <v>32778.75</v>
      </c>
      <c r="V38" s="1">
        <v>4.7</v>
      </c>
      <c r="W38" s="1">
        <f t="shared" ca="1" si="4"/>
        <v>6</v>
      </c>
      <c r="X38" s="1">
        <v>4.7</v>
      </c>
      <c r="Y38" s="1" t="str">
        <f t="shared" si="5"/>
        <v>Stage II</v>
      </c>
      <c r="Z38" s="10">
        <f t="shared" si="7"/>
        <v>32778.75</v>
      </c>
    </row>
    <row r="39" spans="1:26">
      <c r="A39" s="1" t="s">
        <v>320</v>
      </c>
      <c r="B39" s="1">
        <v>69</v>
      </c>
      <c r="C39" s="1" t="s">
        <v>541</v>
      </c>
      <c r="D39" s="1" t="str">
        <f>PROPER(Table3[[#This Row],[Gender]])</f>
        <v>Other</v>
      </c>
      <c r="E39" s="1" t="s">
        <v>551</v>
      </c>
      <c r="F39" s="1" t="str">
        <f>PROPER(Table3[[#This Row],[Country_Region]])</f>
        <v>Germany</v>
      </c>
      <c r="G39" s="1">
        <v>2022</v>
      </c>
      <c r="H39" s="1">
        <v>0.2</v>
      </c>
      <c r="I39" s="1">
        <f>IF(H39="", AVERAGEIF('CLEANED DATASET'!$G$2:$G$532,G39,'CLEANED DATASET'!$H312),H39)</f>
        <v>0.2</v>
      </c>
      <c r="J39" s="1">
        <v>2.9</v>
      </c>
      <c r="K39" s="1">
        <f t="shared" si="0"/>
        <v>2.9</v>
      </c>
      <c r="L39" s="1">
        <v>9.8000000000000007</v>
      </c>
      <c r="M39" s="1">
        <f t="shared" si="1"/>
        <v>9.8000000000000007</v>
      </c>
      <c r="N39" s="1">
        <v>0.6</v>
      </c>
      <c r="O39" s="1">
        <f t="shared" si="2"/>
        <v>0.6</v>
      </c>
      <c r="P39" s="1">
        <v>2.9</v>
      </c>
      <c r="Q39" s="1">
        <f t="shared" si="8"/>
        <v>2.9</v>
      </c>
      <c r="R39" s="1" t="s">
        <v>574</v>
      </c>
      <c r="S39" s="1" t="str">
        <f>PROPER(Table3[[#This Row],[Cancer_Type]])</f>
        <v>Colon</v>
      </c>
      <c r="T39" s="1" t="s">
        <v>594</v>
      </c>
      <c r="U39" s="4">
        <v>78214.320000000007</v>
      </c>
      <c r="V39" s="1">
        <v>4.5</v>
      </c>
      <c r="W39" s="1">
        <f t="shared" ca="1" si="4"/>
        <v>7</v>
      </c>
      <c r="X39" s="1">
        <v>2.79</v>
      </c>
      <c r="Y39" s="1" t="str">
        <f t="shared" si="5"/>
        <v>Stage I</v>
      </c>
      <c r="Z39" s="10">
        <f t="shared" si="7"/>
        <v>78214.320000000007</v>
      </c>
    </row>
    <row r="40" spans="1:26">
      <c r="A40" s="1" t="s">
        <v>155</v>
      </c>
      <c r="B40" s="1">
        <v>60</v>
      </c>
      <c r="C40" s="1" t="s">
        <v>542</v>
      </c>
      <c r="D40" s="1" t="str">
        <f>PROPER(Table3[[#This Row],[Gender]])</f>
        <v>Male</v>
      </c>
      <c r="E40" s="1" t="s">
        <v>548</v>
      </c>
      <c r="F40" s="1" t="str">
        <f>PROPER(Table3[[#This Row],[Country_Region]])</f>
        <v>Uk</v>
      </c>
      <c r="G40" s="1">
        <v>2024</v>
      </c>
      <c r="H40" s="1">
        <v>8.6999999999999993</v>
      </c>
      <c r="I40" s="1">
        <f>IF(H40="", AVERAGEIF('CLEANED DATASET'!$G$2:$G$532,G40,'CLEANED DATASET'!$H147),H40)</f>
        <v>8.6999999999999993</v>
      </c>
      <c r="J40" s="1">
        <v>5.4</v>
      </c>
      <c r="K40" s="1">
        <f t="shared" si="0"/>
        <v>5.4</v>
      </c>
      <c r="L40" s="1">
        <v>0.2</v>
      </c>
      <c r="M40" s="1">
        <f t="shared" si="1"/>
        <v>0.2</v>
      </c>
      <c r="N40" s="1">
        <v>2.2000000000000002</v>
      </c>
      <c r="O40" s="1">
        <f t="shared" si="2"/>
        <v>2.2000000000000002</v>
      </c>
      <c r="P40" s="1">
        <v>1.7</v>
      </c>
      <c r="Q40" s="1">
        <f t="shared" si="8"/>
        <v>1.7</v>
      </c>
      <c r="R40" s="1" t="s">
        <v>576</v>
      </c>
      <c r="S40" s="1" t="str">
        <f>PROPER(Table3[[#This Row],[Cancer_Type]])</f>
        <v>Cervical</v>
      </c>
      <c r="T40" s="1" t="s">
        <v>593</v>
      </c>
      <c r="U40" s="4"/>
      <c r="V40" s="1">
        <v>9.6</v>
      </c>
      <c r="W40" s="1">
        <f t="shared" ca="1" si="4"/>
        <v>5</v>
      </c>
      <c r="X40" s="1">
        <v>4.09</v>
      </c>
      <c r="Y40" s="1" t="str">
        <f t="shared" si="5"/>
        <v>Stage II</v>
      </c>
      <c r="Z40" s="10">
        <f t="shared" si="7"/>
        <v>49539.28</v>
      </c>
    </row>
    <row r="41" spans="1:26">
      <c r="A41" s="1" t="s">
        <v>375</v>
      </c>
      <c r="B41" s="1">
        <v>99</v>
      </c>
      <c r="C41" s="1" t="s">
        <v>546</v>
      </c>
      <c r="D41" s="1" t="str">
        <f>PROPER(Table3[[#This Row],[Gender]])</f>
        <v>Unknown</v>
      </c>
      <c r="E41" s="1" t="s">
        <v>556</v>
      </c>
      <c r="F41" s="1" t="str">
        <f>PROPER(Table3[[#This Row],[Country_Region]])</f>
        <v>India</v>
      </c>
      <c r="G41" s="1">
        <v>2023</v>
      </c>
      <c r="H41" s="1"/>
      <c r="I41" s="3">
        <f ca="1">IF(H41="", AVERAGEIF('CLEANED DATASET'!$G$2:$G$532,G41,'CLEANED DATASET'!$H367),H41)</f>
        <v>5.2094339622641526</v>
      </c>
      <c r="J41" s="1">
        <v>3.8</v>
      </c>
      <c r="K41" s="1">
        <f t="shared" si="0"/>
        <v>3.8</v>
      </c>
      <c r="L41" s="1">
        <v>6.1</v>
      </c>
      <c r="M41" s="1">
        <f t="shared" si="1"/>
        <v>6.1</v>
      </c>
      <c r="N41" s="1">
        <v>1.6</v>
      </c>
      <c r="O41" s="1">
        <f t="shared" si="2"/>
        <v>1.6</v>
      </c>
      <c r="P41" s="1">
        <v>9.1999999999999993</v>
      </c>
      <c r="Q41" s="1">
        <f t="shared" si="8"/>
        <v>9.1999999999999993</v>
      </c>
      <c r="R41" s="1" t="s">
        <v>576</v>
      </c>
      <c r="S41" s="1" t="str">
        <f>PROPER(Table3[[#This Row],[Cancer_Type]])</f>
        <v>Cervical</v>
      </c>
      <c r="T41" s="1" t="s">
        <v>594</v>
      </c>
      <c r="U41" s="4">
        <v>36235.599999999999</v>
      </c>
      <c r="V41" s="1">
        <v>3.7</v>
      </c>
      <c r="W41" s="1">
        <f t="shared" ca="1" si="4"/>
        <v>6</v>
      </c>
      <c r="X41" s="1">
        <v>5.68</v>
      </c>
      <c r="Y41" s="1" t="str">
        <f t="shared" si="5"/>
        <v>Stage II</v>
      </c>
      <c r="Z41" s="10">
        <f t="shared" si="7"/>
        <v>36235.599999999999</v>
      </c>
    </row>
    <row r="42" spans="1:26">
      <c r="A42" s="1" t="s">
        <v>478</v>
      </c>
      <c r="B42" s="5">
        <v>86</v>
      </c>
      <c r="C42" s="1" t="s">
        <v>542</v>
      </c>
      <c r="D42" s="1" t="str">
        <f>PROPER(Table3[[#This Row],[Gender]])</f>
        <v>Male</v>
      </c>
      <c r="E42" s="1" t="s">
        <v>552</v>
      </c>
      <c r="F42" s="1" t="str">
        <f>PROPER(Table3[[#This Row],[Country_Region]])</f>
        <v>China</v>
      </c>
      <c r="G42" s="1">
        <v>2022</v>
      </c>
      <c r="H42" s="1">
        <v>4.0999999999999996</v>
      </c>
      <c r="I42" s="1">
        <f>IF(H42="", AVERAGEIF('CLEANED DATASET'!$G$2:$G$532,G42,'CLEANED DATASET'!$H470),H42)</f>
        <v>4.0999999999999996</v>
      </c>
      <c r="J42" s="1">
        <v>9.3000000000000007</v>
      </c>
      <c r="K42" s="1">
        <f t="shared" si="0"/>
        <v>9.3000000000000007</v>
      </c>
      <c r="L42" s="1">
        <v>3.4</v>
      </c>
      <c r="M42" s="1">
        <f t="shared" si="1"/>
        <v>3.4</v>
      </c>
      <c r="N42" s="1">
        <v>9.1</v>
      </c>
      <c r="O42" s="1">
        <f t="shared" si="2"/>
        <v>9.1</v>
      </c>
      <c r="P42" s="1">
        <v>4.0999999999999996</v>
      </c>
      <c r="Q42" s="1">
        <f t="shared" si="8"/>
        <v>4.0999999999999996</v>
      </c>
      <c r="R42" s="1" t="s">
        <v>603</v>
      </c>
      <c r="S42" s="1" t="str">
        <f>PROPER(Table3[[#This Row],[Cancer_Type]])</f>
        <v>Unknown</v>
      </c>
      <c r="T42" s="1" t="s">
        <v>593</v>
      </c>
      <c r="U42" s="4">
        <v>91374.69</v>
      </c>
      <c r="V42" s="1">
        <v>4.9000000000000004</v>
      </c>
      <c r="W42" s="1">
        <f t="shared" ca="1" si="4"/>
        <v>5</v>
      </c>
      <c r="X42" s="1">
        <v>5.13</v>
      </c>
      <c r="Y42" s="1" t="str">
        <f t="shared" si="5"/>
        <v>Stage II</v>
      </c>
      <c r="Z42" s="10">
        <f t="shared" si="7"/>
        <v>91374.69</v>
      </c>
    </row>
    <row r="43" spans="1:26">
      <c r="A43" s="1" t="s">
        <v>257</v>
      </c>
      <c r="B43" s="1">
        <v>70</v>
      </c>
      <c r="C43" s="1" t="s">
        <v>543</v>
      </c>
      <c r="D43" s="1" t="str">
        <f>PROPER(Table3[[#This Row],[Gender]])</f>
        <v>Female</v>
      </c>
      <c r="E43" s="1" t="s">
        <v>567</v>
      </c>
      <c r="F43" s="1" t="str">
        <f>PROPER(Table3[[#This Row],[Country_Region]])</f>
        <v>Canada</v>
      </c>
      <c r="G43" s="1">
        <v>2023</v>
      </c>
      <c r="H43" s="1">
        <v>8.8000000000000007</v>
      </c>
      <c r="I43" s="1">
        <f>IF(H43="", AVERAGEIF('CLEANED DATASET'!$G$2:$G$532,G43,'CLEANED DATASET'!$H249),H43)</f>
        <v>8.8000000000000007</v>
      </c>
      <c r="J43" s="1">
        <v>7</v>
      </c>
      <c r="K43" s="1">
        <f t="shared" si="0"/>
        <v>7</v>
      </c>
      <c r="L43" s="1">
        <v>2.9</v>
      </c>
      <c r="M43" s="1">
        <f t="shared" si="1"/>
        <v>2.9</v>
      </c>
      <c r="N43" s="1">
        <v>4.9000000000000004</v>
      </c>
      <c r="O43" s="1">
        <f t="shared" si="2"/>
        <v>4.9000000000000004</v>
      </c>
      <c r="P43" s="1">
        <v>6.4</v>
      </c>
      <c r="Q43" s="1">
        <f t="shared" si="8"/>
        <v>6.4</v>
      </c>
      <c r="R43" s="1" t="s">
        <v>570</v>
      </c>
      <c r="S43" s="1" t="str">
        <f>PROPER(Table3[[#This Row],[Cancer_Type]])</f>
        <v>Skin</v>
      </c>
      <c r="T43" s="1" t="s">
        <v>592</v>
      </c>
      <c r="U43" s="4">
        <v>12930.13</v>
      </c>
      <c r="V43" s="1">
        <v>6</v>
      </c>
      <c r="W43" s="1">
        <f t="shared" ca="1" si="4"/>
        <v>3</v>
      </c>
      <c r="X43" s="1">
        <v>6.61</v>
      </c>
      <c r="Y43" s="1" t="str">
        <f t="shared" si="5"/>
        <v>Stage III</v>
      </c>
      <c r="Z43" s="10">
        <f t="shared" si="7"/>
        <v>12930.13</v>
      </c>
    </row>
    <row r="44" spans="1:26">
      <c r="A44" s="1" t="s">
        <v>171</v>
      </c>
      <c r="B44" s="1">
        <v>23</v>
      </c>
      <c r="C44" s="1" t="s">
        <v>541</v>
      </c>
      <c r="D44" s="1" t="str">
        <f>PROPER(Table3[[#This Row],[Gender]])</f>
        <v>Other</v>
      </c>
      <c r="E44" s="1" t="s">
        <v>550</v>
      </c>
      <c r="F44" s="1" t="str">
        <f>PROPER(Table3[[#This Row],[Country_Region]])</f>
        <v>Pakistan</v>
      </c>
      <c r="G44" s="1">
        <v>2024</v>
      </c>
      <c r="H44" s="1">
        <v>5</v>
      </c>
      <c r="I44" s="1">
        <f>IF(H44="", AVERAGEIF('CLEANED DATASET'!$G$2:$G$532,G44,'CLEANED DATASET'!$H163),H44)</f>
        <v>5</v>
      </c>
      <c r="J44" s="1"/>
      <c r="K44" s="1">
        <f t="shared" si="0"/>
        <v>4.9000000000000004</v>
      </c>
      <c r="L44" s="1">
        <v>1.7</v>
      </c>
      <c r="M44" s="1">
        <f t="shared" si="1"/>
        <v>1.7</v>
      </c>
      <c r="N44" s="1">
        <v>6.9</v>
      </c>
      <c r="O44" s="1">
        <f t="shared" si="2"/>
        <v>6.9</v>
      </c>
      <c r="P44" s="1">
        <v>2.7</v>
      </c>
      <c r="Q44" s="1">
        <f t="shared" si="8"/>
        <v>2.7</v>
      </c>
      <c r="R44" s="1" t="s">
        <v>570</v>
      </c>
      <c r="S44" s="1" t="str">
        <f>PROPER(Table3[[#This Row],[Cancer_Type]])</f>
        <v>Skin</v>
      </c>
      <c r="T44" s="1" t="s">
        <v>591</v>
      </c>
      <c r="U44" s="4">
        <v>78527.83</v>
      </c>
      <c r="V44" s="1">
        <v>9.8000000000000007</v>
      </c>
      <c r="W44" s="1">
        <f t="shared" ca="1" si="4"/>
        <v>6</v>
      </c>
      <c r="X44" s="1">
        <v>4.55</v>
      </c>
      <c r="Y44" s="1" t="str">
        <f t="shared" si="5"/>
        <v>Stage II</v>
      </c>
      <c r="Z44" s="10">
        <f t="shared" si="7"/>
        <v>78527.83</v>
      </c>
    </row>
    <row r="45" spans="1:26">
      <c r="A45" s="1" t="s">
        <v>384</v>
      </c>
      <c r="B45" s="1">
        <v>24</v>
      </c>
      <c r="C45" s="1" t="s">
        <v>543</v>
      </c>
      <c r="D45" s="1" t="str">
        <f>PROPER(Table3[[#This Row],[Gender]])</f>
        <v>Female</v>
      </c>
      <c r="E45" s="1" t="s">
        <v>555</v>
      </c>
      <c r="F45" s="1" t="str">
        <f>PROPER(Table3[[#This Row],[Country_Region]])</f>
        <v>Russia</v>
      </c>
      <c r="G45" s="1">
        <v>2022</v>
      </c>
      <c r="H45" s="1">
        <v>5.4</v>
      </c>
      <c r="I45" s="1">
        <f>IF(H45="", AVERAGEIF('CLEANED DATASET'!$G$2:$G$532,G45,'CLEANED DATASET'!$H376),H45)</f>
        <v>5.4</v>
      </c>
      <c r="J45" s="1">
        <v>8.4</v>
      </c>
      <c r="K45" s="1">
        <f t="shared" si="0"/>
        <v>8.4</v>
      </c>
      <c r="L45" s="1">
        <v>8.4</v>
      </c>
      <c r="M45" s="1">
        <f t="shared" si="1"/>
        <v>8.4</v>
      </c>
      <c r="N45" s="1">
        <v>7.2</v>
      </c>
      <c r="O45" s="1">
        <f t="shared" si="2"/>
        <v>7.2</v>
      </c>
      <c r="P45" s="1">
        <v>7.7</v>
      </c>
      <c r="Q45" s="1">
        <f t="shared" si="8"/>
        <v>7.7</v>
      </c>
      <c r="R45" s="1" t="s">
        <v>579</v>
      </c>
      <c r="S45" s="1" t="str">
        <f>PROPER(Table3[[#This Row],[Cancer_Type]])</f>
        <v>Prostate</v>
      </c>
      <c r="T45" s="1" t="s">
        <v>594</v>
      </c>
      <c r="U45" s="4">
        <v>26542.86</v>
      </c>
      <c r="V45" s="1">
        <v>7.4</v>
      </c>
      <c r="W45" s="1">
        <f t="shared" ca="1" si="4"/>
        <v>4</v>
      </c>
      <c r="X45" s="1">
        <v>7.28</v>
      </c>
      <c r="Y45" s="1" t="str">
        <f t="shared" si="5"/>
        <v>Stage III</v>
      </c>
      <c r="Z45" s="10">
        <f t="shared" si="7"/>
        <v>26542.86</v>
      </c>
    </row>
    <row r="46" spans="1:26">
      <c r="A46" s="1" t="s">
        <v>275</v>
      </c>
      <c r="B46" s="5">
        <v>29</v>
      </c>
      <c r="C46" s="1" t="s">
        <v>542</v>
      </c>
      <c r="D46" s="1" t="str">
        <f>PROPER(Table3[[#This Row],[Gender]])</f>
        <v>Male</v>
      </c>
      <c r="E46" s="1" t="s">
        <v>550</v>
      </c>
      <c r="F46" s="1" t="str">
        <f>PROPER(Table3[[#This Row],[Country_Region]])</f>
        <v>Pakistan</v>
      </c>
      <c r="G46" s="1">
        <v>2022</v>
      </c>
      <c r="H46" s="1">
        <v>0.6</v>
      </c>
      <c r="I46" s="1">
        <f>IF(H46="", AVERAGEIF('CLEANED DATASET'!$G$2:$G$532,G46,'CLEANED DATASET'!$H267),H46)</f>
        <v>0.6</v>
      </c>
      <c r="J46" s="1">
        <v>6.1</v>
      </c>
      <c r="K46" s="1">
        <f t="shared" si="0"/>
        <v>6.1</v>
      </c>
      <c r="L46" s="1">
        <v>4.7</v>
      </c>
      <c r="M46" s="1">
        <f t="shared" si="1"/>
        <v>4.7</v>
      </c>
      <c r="N46" s="1">
        <v>7.9</v>
      </c>
      <c r="O46" s="1">
        <f t="shared" si="2"/>
        <v>7.9</v>
      </c>
      <c r="P46" s="1">
        <v>8.1999999999999993</v>
      </c>
      <c r="Q46" s="1">
        <f t="shared" si="8"/>
        <v>8.1999999999999993</v>
      </c>
      <c r="R46" s="1" t="s">
        <v>579</v>
      </c>
      <c r="S46" s="1" t="str">
        <f>PROPER(Table3[[#This Row],[Cancer_Type]])</f>
        <v>Prostate</v>
      </c>
      <c r="T46" s="1" t="s">
        <v>591</v>
      </c>
      <c r="U46" s="4">
        <v>96688.1</v>
      </c>
      <c r="V46" s="1">
        <v>7.6</v>
      </c>
      <c r="W46" s="1">
        <f t="shared" ca="1" si="4"/>
        <v>5</v>
      </c>
      <c r="X46" s="1">
        <v>4.21</v>
      </c>
      <c r="Y46" s="1" t="str">
        <f t="shared" si="5"/>
        <v>Stage II</v>
      </c>
      <c r="Z46" s="10">
        <f t="shared" si="7"/>
        <v>96688.1</v>
      </c>
    </row>
    <row r="47" spans="1:26">
      <c r="A47" s="1" t="s">
        <v>295</v>
      </c>
      <c r="B47" s="1">
        <v>25</v>
      </c>
      <c r="C47" s="1" t="s">
        <v>542</v>
      </c>
      <c r="D47" s="1" t="str">
        <f>PROPER(Table3[[#This Row],[Gender]])</f>
        <v>Male</v>
      </c>
      <c r="E47" s="1" t="s">
        <v>551</v>
      </c>
      <c r="F47" s="1" t="str">
        <f>PROPER(Table3[[#This Row],[Country_Region]])</f>
        <v>Germany</v>
      </c>
      <c r="G47" s="1">
        <v>2022</v>
      </c>
      <c r="H47" s="1"/>
      <c r="I47" s="3">
        <f ca="1">IF(H47="", AVERAGEIF('CLEANED DATASET'!$G$2:$G$532,G47,'CLEANED DATASET'!$H287),H47)</f>
        <v>4.864556962025314</v>
      </c>
      <c r="J47" s="1">
        <v>1.7</v>
      </c>
      <c r="K47" s="1">
        <f t="shared" si="0"/>
        <v>1.7</v>
      </c>
      <c r="L47" s="1">
        <v>2.2999999999999998</v>
      </c>
      <c r="M47" s="1">
        <f t="shared" si="1"/>
        <v>2.2999999999999998</v>
      </c>
      <c r="N47" s="1">
        <v>3.2</v>
      </c>
      <c r="O47" s="1">
        <f t="shared" si="2"/>
        <v>3.2</v>
      </c>
      <c r="P47" s="1">
        <v>8.1</v>
      </c>
      <c r="Q47" s="1">
        <f t="shared" si="8"/>
        <v>8.1</v>
      </c>
      <c r="R47" s="1" t="s">
        <v>572</v>
      </c>
      <c r="S47" s="1" t="str">
        <f>PROPER(Table3[[#This Row],[Cancer_Type]])</f>
        <v>Leukemia</v>
      </c>
      <c r="T47" s="1" t="s">
        <v>590</v>
      </c>
      <c r="U47" s="4">
        <v>70112.320000000007</v>
      </c>
      <c r="V47" s="1">
        <v>7.9</v>
      </c>
      <c r="W47" s="1">
        <f t="shared" ca="1" si="4"/>
        <v>5</v>
      </c>
      <c r="X47" s="1">
        <v>4.1500000000000004</v>
      </c>
      <c r="Y47" s="1" t="str">
        <f t="shared" si="5"/>
        <v>Stage II</v>
      </c>
      <c r="Z47" s="10">
        <f t="shared" si="7"/>
        <v>70112.320000000007</v>
      </c>
    </row>
    <row r="48" spans="1:26">
      <c r="A48" s="1" t="s">
        <v>51</v>
      </c>
      <c r="B48" s="1">
        <v>49</v>
      </c>
      <c r="C48" s="1" t="s">
        <v>542</v>
      </c>
      <c r="D48" s="1" t="str">
        <f>PROPER(Table3[[#This Row],[Gender]])</f>
        <v>Male</v>
      </c>
      <c r="E48" s="1" t="s">
        <v>559</v>
      </c>
      <c r="F48" s="1" t="str">
        <f>PROPER(Table3[[#This Row],[Country_Region]])</f>
        <v>Russia</v>
      </c>
      <c r="G48" s="1">
        <v>2024</v>
      </c>
      <c r="H48" s="1">
        <v>9.6999999999999993</v>
      </c>
      <c r="I48" s="1">
        <f>IF(H48="", AVERAGEIF('CLEANED DATASET'!$G$2:$G$532,G48,'CLEANED DATASET'!$H43),H48)</f>
        <v>9.6999999999999993</v>
      </c>
      <c r="J48" s="1">
        <v>2.1</v>
      </c>
      <c r="K48" s="1">
        <f t="shared" si="0"/>
        <v>2.1</v>
      </c>
      <c r="L48" s="1"/>
      <c r="M48" s="3">
        <f t="shared" si="1"/>
        <v>4.8055555555555562</v>
      </c>
      <c r="N48" s="1">
        <v>1.4</v>
      </c>
      <c r="O48" s="1">
        <f t="shared" si="2"/>
        <v>1.4</v>
      </c>
      <c r="P48" s="1">
        <v>3.8</v>
      </c>
      <c r="Q48" s="1">
        <f t="shared" si="8"/>
        <v>3.8</v>
      </c>
      <c r="R48" s="1" t="s">
        <v>574</v>
      </c>
      <c r="S48" s="1" t="str">
        <f>PROPER(Table3[[#This Row],[Cancer_Type]])</f>
        <v>Colon</v>
      </c>
      <c r="T48" s="1" t="s">
        <v>594</v>
      </c>
      <c r="U48" s="4">
        <v>87021.56</v>
      </c>
      <c r="V48" s="1">
        <v>4.3</v>
      </c>
      <c r="W48" s="1">
        <f t="shared" ca="1" si="4"/>
        <v>8</v>
      </c>
      <c r="X48" s="1">
        <v>3.68</v>
      </c>
      <c r="Y48" s="1" t="str">
        <f t="shared" si="5"/>
        <v>Stage I</v>
      </c>
      <c r="Z48" s="10">
        <f t="shared" si="7"/>
        <v>87021.56</v>
      </c>
    </row>
    <row r="49" spans="1:26">
      <c r="A49" s="1" t="s">
        <v>335</v>
      </c>
      <c r="B49" s="1">
        <v>22</v>
      </c>
      <c r="C49" s="1" t="s">
        <v>614</v>
      </c>
      <c r="D49" s="1" t="str">
        <f>PROPER(Table3[[#This Row],[Gender]])</f>
        <v>Female</v>
      </c>
      <c r="E49" s="1" t="s">
        <v>550</v>
      </c>
      <c r="F49" s="1" t="str">
        <f>PROPER(Table3[[#This Row],[Country_Region]])</f>
        <v>Pakistan</v>
      </c>
      <c r="G49" s="1">
        <v>2022</v>
      </c>
      <c r="H49" s="1">
        <v>4.2</v>
      </c>
      <c r="I49" s="1">
        <f>IF(H49="", AVERAGEIF('CLEANED DATASET'!$G$2:$G$532,G49,'CLEANED DATASET'!$H327),H49)</f>
        <v>4.2</v>
      </c>
      <c r="J49" s="1">
        <v>6.9</v>
      </c>
      <c r="K49" s="1">
        <f t="shared" si="0"/>
        <v>6.9</v>
      </c>
      <c r="L49" s="1">
        <v>6.4</v>
      </c>
      <c r="M49" s="1">
        <f t="shared" si="1"/>
        <v>6.4</v>
      </c>
      <c r="N49" s="1">
        <v>6.2</v>
      </c>
      <c r="O49" s="1">
        <f t="shared" si="2"/>
        <v>6.2</v>
      </c>
      <c r="P49" s="1">
        <v>5.3</v>
      </c>
      <c r="Q49" s="1">
        <f t="shared" si="8"/>
        <v>5.3</v>
      </c>
      <c r="R49" s="1" t="s">
        <v>576</v>
      </c>
      <c r="S49" s="1" t="str">
        <f>PROPER(Table3[[#This Row],[Cancer_Type]])</f>
        <v>Cervical</v>
      </c>
      <c r="T49" s="1" t="s">
        <v>590</v>
      </c>
      <c r="U49" s="4">
        <v>63008.99</v>
      </c>
      <c r="V49" s="1">
        <v>0.5</v>
      </c>
      <c r="W49" s="1">
        <f t="shared" ca="1" si="4"/>
        <v>6</v>
      </c>
      <c r="X49" s="1">
        <v>5.34</v>
      </c>
      <c r="Y49" s="1" t="str">
        <f t="shared" si="5"/>
        <v>Stage II</v>
      </c>
      <c r="Z49" s="10">
        <f t="shared" si="7"/>
        <v>63008.99</v>
      </c>
    </row>
    <row r="50" spans="1:26">
      <c r="A50" s="1" t="s">
        <v>125</v>
      </c>
      <c r="B50" s="1">
        <v>65</v>
      </c>
      <c r="C50" s="1" t="s">
        <v>541</v>
      </c>
      <c r="D50" s="1" t="str">
        <f>PROPER(Table3[[#This Row],[Gender]])</f>
        <v>Other</v>
      </c>
      <c r="E50" s="5" t="s">
        <v>567</v>
      </c>
      <c r="F50" s="1" t="str">
        <f>PROPER(Table3[[#This Row],[Country_Region]])</f>
        <v>Canada</v>
      </c>
      <c r="G50" s="1">
        <v>2022</v>
      </c>
      <c r="H50" s="1">
        <v>8.5</v>
      </c>
      <c r="I50" s="1">
        <f>IF(H50="", AVERAGEIF('CLEANED DATASET'!$G$2:$G$532,G50,'CLEANED DATASET'!$H117),H50)</f>
        <v>8.5</v>
      </c>
      <c r="J50" s="1">
        <v>3.8</v>
      </c>
      <c r="K50" s="1">
        <f t="shared" si="0"/>
        <v>3.8</v>
      </c>
      <c r="L50" s="1">
        <v>4.7</v>
      </c>
      <c r="M50" s="1">
        <f t="shared" si="1"/>
        <v>4.7</v>
      </c>
      <c r="N50" s="1">
        <v>2.7</v>
      </c>
      <c r="O50" s="1">
        <f t="shared" si="2"/>
        <v>2.7</v>
      </c>
      <c r="P50" s="1">
        <v>3.3</v>
      </c>
      <c r="Q50" s="1">
        <f t="shared" si="8"/>
        <v>3.3</v>
      </c>
      <c r="R50" s="1" t="s">
        <v>579</v>
      </c>
      <c r="S50" s="1" t="str">
        <f>PROPER(Table3[[#This Row],[Cancer_Type]])</f>
        <v>Prostate</v>
      </c>
      <c r="T50" s="1" t="s">
        <v>591</v>
      </c>
      <c r="U50" s="4">
        <v>55925.25</v>
      </c>
      <c r="V50" s="1">
        <v>5.9</v>
      </c>
      <c r="W50" s="1">
        <f t="shared" ca="1" si="4"/>
        <v>5</v>
      </c>
      <c r="X50" s="1">
        <v>4.7300000000000004</v>
      </c>
      <c r="Y50" s="1" t="str">
        <f t="shared" si="5"/>
        <v>Stage II</v>
      </c>
      <c r="Z50" s="10">
        <f t="shared" si="7"/>
        <v>55925.25</v>
      </c>
    </row>
    <row r="51" spans="1:26">
      <c r="A51" s="1" t="s">
        <v>93</v>
      </c>
      <c r="B51" s="1">
        <v>40</v>
      </c>
      <c r="C51" s="1" t="s">
        <v>546</v>
      </c>
      <c r="D51" s="1" t="str">
        <f>PROPER(Table3[[#This Row],[Gender]])</f>
        <v>Unknown</v>
      </c>
      <c r="E51" s="1" t="s">
        <v>550</v>
      </c>
      <c r="F51" s="1" t="str">
        <f>PROPER(Table3[[#This Row],[Country_Region]])</f>
        <v>Pakistan</v>
      </c>
      <c r="G51" s="1">
        <v>2024</v>
      </c>
      <c r="H51" s="1">
        <v>4</v>
      </c>
      <c r="I51" s="1">
        <f>IF(H51="", AVERAGEIF('CLEANED DATASET'!$G$2:$G$532,G51,'CLEANED DATASET'!$H85),H51)</f>
        <v>4</v>
      </c>
      <c r="J51" s="1">
        <v>8.4</v>
      </c>
      <c r="K51" s="1">
        <f t="shared" si="0"/>
        <v>8.4</v>
      </c>
      <c r="L51" s="1">
        <v>4.2</v>
      </c>
      <c r="M51" s="1">
        <f t="shared" si="1"/>
        <v>4.2</v>
      </c>
      <c r="N51" s="1">
        <v>8.6</v>
      </c>
      <c r="O51" s="1">
        <f t="shared" si="2"/>
        <v>8.6</v>
      </c>
      <c r="P51" s="1">
        <v>2.1</v>
      </c>
      <c r="Q51" s="1">
        <f t="shared" si="8"/>
        <v>2.1</v>
      </c>
      <c r="R51" s="1" t="s">
        <v>570</v>
      </c>
      <c r="S51" s="1" t="str">
        <f>PROPER(Table3[[#This Row],[Cancer_Type]])</f>
        <v>Skin</v>
      </c>
      <c r="T51" s="1" t="s">
        <v>593</v>
      </c>
      <c r="U51" s="4">
        <v>89295.07</v>
      </c>
      <c r="V51" s="1">
        <v>7.6</v>
      </c>
      <c r="W51" s="1">
        <f t="shared" ca="1" si="4"/>
        <v>5</v>
      </c>
      <c r="X51" s="1">
        <v>4.83</v>
      </c>
      <c r="Y51" s="1" t="str">
        <f t="shared" si="5"/>
        <v>Stage II</v>
      </c>
      <c r="Z51" s="10">
        <f t="shared" si="7"/>
        <v>89295.07</v>
      </c>
    </row>
    <row r="52" spans="1:26">
      <c r="A52" s="1" t="s">
        <v>322</v>
      </c>
      <c r="B52" s="5">
        <v>73</v>
      </c>
      <c r="C52" s="1" t="s">
        <v>546</v>
      </c>
      <c r="D52" s="1" t="str">
        <f>PROPER(Table3[[#This Row],[Gender]])</f>
        <v>Unknown</v>
      </c>
      <c r="E52" s="1" t="s">
        <v>550</v>
      </c>
      <c r="F52" s="1" t="str">
        <f>PROPER(Table3[[#This Row],[Country_Region]])</f>
        <v>Pakistan</v>
      </c>
      <c r="G52" s="1">
        <v>2023</v>
      </c>
      <c r="H52" s="1">
        <v>0.1</v>
      </c>
      <c r="I52" s="1">
        <f>IF(H52="", AVERAGEIF('CLEANED DATASET'!$G$2:$G$532,G52,'CLEANED DATASET'!$H314),H52)</f>
        <v>0.1</v>
      </c>
      <c r="J52" s="1">
        <v>3.6</v>
      </c>
      <c r="K52" s="1">
        <f t="shared" si="0"/>
        <v>3.6</v>
      </c>
      <c r="L52" s="1">
        <v>6.9</v>
      </c>
      <c r="M52" s="1">
        <f t="shared" si="1"/>
        <v>6.9</v>
      </c>
      <c r="N52" s="1">
        <v>0.3</v>
      </c>
      <c r="O52" s="1">
        <f t="shared" si="2"/>
        <v>0.3</v>
      </c>
      <c r="P52" s="1">
        <v>6.5</v>
      </c>
      <c r="Q52" s="1">
        <f t="shared" si="8"/>
        <v>6.5</v>
      </c>
      <c r="R52" s="1" t="s">
        <v>603</v>
      </c>
      <c r="S52" s="1" t="str">
        <f>PROPER(Table3[[#This Row],[Cancer_Type]])</f>
        <v>Unknown</v>
      </c>
      <c r="T52" s="1" t="s">
        <v>593</v>
      </c>
      <c r="U52" s="4"/>
      <c r="V52" s="1">
        <v>7.5</v>
      </c>
      <c r="W52" s="1">
        <f t="shared" ca="1" si="4"/>
        <v>7</v>
      </c>
      <c r="X52" s="1">
        <v>3.26</v>
      </c>
      <c r="Y52" s="1" t="str">
        <f t="shared" si="5"/>
        <v>Stage I</v>
      </c>
      <c r="Z52" s="10">
        <f t="shared" si="7"/>
        <v>47569.3</v>
      </c>
    </row>
    <row r="53" spans="1:26">
      <c r="A53" s="1" t="s">
        <v>12</v>
      </c>
      <c r="B53" s="1">
        <v>69</v>
      </c>
      <c r="C53" s="1" t="s">
        <v>546</v>
      </c>
      <c r="D53" s="1" t="str">
        <f>PROPER(Table3[[#This Row],[Gender]])</f>
        <v>Unknown</v>
      </c>
      <c r="E53" s="1" t="s">
        <v>555</v>
      </c>
      <c r="F53" s="1" t="str">
        <f>PROPER(Table3[[#This Row],[Country_Region]])</f>
        <v>Russia</v>
      </c>
      <c r="G53" s="1">
        <v>2023</v>
      </c>
      <c r="H53" s="1">
        <v>5.8</v>
      </c>
      <c r="I53" s="1">
        <f>IF(H53="", AVERAGEIF('CLEANED DATASET'!$G$2:$G$532,G53,'CLEANED DATASET'!$H4),H53)</f>
        <v>5.8</v>
      </c>
      <c r="J53" s="1">
        <v>6.1</v>
      </c>
      <c r="K53" s="1">
        <f t="shared" si="0"/>
        <v>6.1</v>
      </c>
      <c r="L53" s="1"/>
      <c r="M53" s="4">
        <f t="shared" si="1"/>
        <v>4.7187499999999982</v>
      </c>
      <c r="N53" s="1">
        <v>5</v>
      </c>
      <c r="O53" s="1">
        <f t="shared" si="2"/>
        <v>5</v>
      </c>
      <c r="P53" s="1"/>
      <c r="Q53" s="3">
        <f t="shared" si="8"/>
        <v>4.1474683544303783</v>
      </c>
      <c r="R53" s="1" t="s">
        <v>572</v>
      </c>
      <c r="S53" s="1" t="str">
        <f>PROPER(Table3[[#This Row],[Cancer_Type]])</f>
        <v>Leukemia</v>
      </c>
      <c r="T53" s="1" t="s">
        <v>591</v>
      </c>
      <c r="U53" s="4">
        <v>81317.070000000007</v>
      </c>
      <c r="V53" s="1">
        <v>1.5</v>
      </c>
      <c r="W53" s="1">
        <f t="shared" ca="1" si="4"/>
        <v>1</v>
      </c>
      <c r="X53" s="3">
        <f>ROUND(I53+K53+M53+O53+Q53+(10-V53)/6, 2)</f>
        <v>27.18</v>
      </c>
      <c r="Y53" s="1" t="str">
        <f t="shared" si="5"/>
        <v>Stage IV</v>
      </c>
      <c r="Z53" s="10">
        <f t="shared" si="7"/>
        <v>81317.070000000007</v>
      </c>
    </row>
    <row r="54" spans="1:26">
      <c r="A54" s="1" t="s">
        <v>82</v>
      </c>
      <c r="B54" s="1">
        <v>58</v>
      </c>
      <c r="C54" s="1" t="s">
        <v>541</v>
      </c>
      <c r="D54" s="1" t="str">
        <f>PROPER(Table3[[#This Row],[Gender]])</f>
        <v>Other</v>
      </c>
      <c r="E54" s="1" t="s">
        <v>560</v>
      </c>
      <c r="F54" s="1" t="str">
        <f>PROPER(Table3[[#This Row],[Country_Region]])</f>
        <v>Usa</v>
      </c>
      <c r="G54" s="1">
        <v>2023</v>
      </c>
      <c r="H54" s="1">
        <v>1.6</v>
      </c>
      <c r="I54" s="1">
        <f>IF(H54="", AVERAGEIF('CLEANED DATASET'!$G$2:$G$532,G54,'CLEANED DATASET'!$H74),H54)</f>
        <v>1.6</v>
      </c>
      <c r="J54" s="1">
        <v>3.3</v>
      </c>
      <c r="K54" s="1">
        <f t="shared" si="0"/>
        <v>3.3</v>
      </c>
      <c r="L54" s="1">
        <v>8.8000000000000007</v>
      </c>
      <c r="M54" s="1">
        <f t="shared" si="1"/>
        <v>8.8000000000000007</v>
      </c>
      <c r="N54" s="1">
        <v>1.6</v>
      </c>
      <c r="O54" s="1">
        <f t="shared" si="2"/>
        <v>1.6</v>
      </c>
      <c r="P54" s="1">
        <v>9.1999999999999993</v>
      </c>
      <c r="Q54" s="1">
        <f t="shared" si="8"/>
        <v>9.1999999999999993</v>
      </c>
      <c r="R54" s="1" t="s">
        <v>579</v>
      </c>
      <c r="S54" s="1" t="str">
        <f>PROPER(Table3[[#This Row],[Cancer_Type]])</f>
        <v>Prostate</v>
      </c>
      <c r="T54" s="1" t="s">
        <v>590</v>
      </c>
      <c r="U54" s="4">
        <v>20810.36</v>
      </c>
      <c r="V54" s="1">
        <v>6</v>
      </c>
      <c r="W54" s="1">
        <f t="shared" ca="1" si="4"/>
        <v>6</v>
      </c>
      <c r="X54" s="1">
        <v>4.96</v>
      </c>
      <c r="Y54" s="1" t="str">
        <f t="shared" si="5"/>
        <v>Stage II</v>
      </c>
      <c r="Z54" s="10">
        <f t="shared" si="7"/>
        <v>20810.36</v>
      </c>
    </row>
    <row r="55" spans="1:26">
      <c r="A55" s="1" t="s">
        <v>532</v>
      </c>
      <c r="B55" s="1">
        <v>22</v>
      </c>
      <c r="C55" s="1" t="s">
        <v>543</v>
      </c>
      <c r="D55" s="1" t="str">
        <f>PROPER(Table3[[#This Row],[Gender]])</f>
        <v>Female</v>
      </c>
      <c r="E55" s="1" t="s">
        <v>555</v>
      </c>
      <c r="F55" s="1" t="str">
        <f>PROPER(Table3[[#This Row],[Country_Region]])</f>
        <v>Russia</v>
      </c>
      <c r="G55" s="1">
        <v>2023</v>
      </c>
      <c r="H55" s="1">
        <v>9.3000000000000007</v>
      </c>
      <c r="I55" s="1">
        <f>IF(H55="", AVERAGEIF('CLEANED DATASET'!$G$2:$G$532,G55,'CLEANED DATASET'!$H524),H55)</f>
        <v>9.3000000000000007</v>
      </c>
      <c r="J55" s="1">
        <v>8.8000000000000007</v>
      </c>
      <c r="K55" s="1">
        <f t="shared" si="0"/>
        <v>8.8000000000000007</v>
      </c>
      <c r="L55" s="1">
        <v>0.5</v>
      </c>
      <c r="M55" s="1">
        <f t="shared" si="1"/>
        <v>0.5</v>
      </c>
      <c r="N55" s="1">
        <v>7.5</v>
      </c>
      <c r="O55" s="1">
        <f t="shared" si="2"/>
        <v>7.5</v>
      </c>
      <c r="P55" s="1">
        <v>8.1</v>
      </c>
      <c r="Q55" s="1">
        <f t="shared" si="8"/>
        <v>8.1</v>
      </c>
      <c r="R55" s="1" t="s">
        <v>578</v>
      </c>
      <c r="S55" s="1" t="str">
        <f>PROPER(Table3[[#This Row],[Cancer_Type]])</f>
        <v>Liver</v>
      </c>
      <c r="T55" s="1" t="s">
        <v>594</v>
      </c>
      <c r="U55" s="4">
        <v>56425.05</v>
      </c>
      <c r="V55" s="1">
        <v>6.3</v>
      </c>
      <c r="W55" s="1">
        <f t="shared" ca="1" si="4"/>
        <v>3</v>
      </c>
      <c r="X55" s="1">
        <v>6.44</v>
      </c>
      <c r="Y55" s="1" t="str">
        <f t="shared" si="5"/>
        <v>Stage III</v>
      </c>
      <c r="Z55" s="10">
        <f t="shared" si="7"/>
        <v>56425.05</v>
      </c>
    </row>
    <row r="56" spans="1:26">
      <c r="A56" s="1" t="s">
        <v>314</v>
      </c>
      <c r="B56" s="1">
        <v>58</v>
      </c>
      <c r="C56" s="1" t="s">
        <v>541</v>
      </c>
      <c r="D56" s="1" t="str">
        <f>PROPER(Table3[[#This Row],[Gender]])</f>
        <v>Other</v>
      </c>
      <c r="E56" s="1" t="s">
        <v>556</v>
      </c>
      <c r="F56" s="1" t="str">
        <f>PROPER(Table3[[#This Row],[Country_Region]])</f>
        <v>India</v>
      </c>
      <c r="G56" s="1">
        <v>2023</v>
      </c>
      <c r="H56" s="1">
        <v>8.6999999999999993</v>
      </c>
      <c r="I56" s="1">
        <f>IF(H56="", AVERAGEIF('CLEANED DATASET'!$G$2:$G$532,G56,'CLEANED DATASET'!$H306),H56)</f>
        <v>8.6999999999999993</v>
      </c>
      <c r="J56" s="1">
        <v>0.1</v>
      </c>
      <c r="K56" s="1">
        <f t="shared" si="0"/>
        <v>0.1</v>
      </c>
      <c r="L56" s="1">
        <v>5.3</v>
      </c>
      <c r="M56" s="1">
        <f t="shared" si="1"/>
        <v>5.3</v>
      </c>
      <c r="N56" s="1">
        <v>4.4000000000000004</v>
      </c>
      <c r="O56" s="1">
        <f t="shared" si="2"/>
        <v>4.4000000000000004</v>
      </c>
      <c r="P56" s="1">
        <v>1.9</v>
      </c>
      <c r="Q56" s="1">
        <f t="shared" si="8"/>
        <v>1.9</v>
      </c>
      <c r="R56" s="1" t="s">
        <v>574</v>
      </c>
      <c r="S56" s="1" t="str">
        <f>PROPER(Table3[[#This Row],[Cancer_Type]])</f>
        <v>Colon</v>
      </c>
      <c r="T56" s="1" t="s">
        <v>591</v>
      </c>
      <c r="U56" s="4">
        <v>59322.8</v>
      </c>
      <c r="V56" s="1">
        <v>4.3</v>
      </c>
      <c r="W56" s="1">
        <f t="shared" ca="1" si="4"/>
        <v>5</v>
      </c>
      <c r="X56" s="1">
        <v>4.43</v>
      </c>
      <c r="Y56" s="1" t="str">
        <f t="shared" si="5"/>
        <v>Stage II</v>
      </c>
      <c r="Z56" s="10">
        <f t="shared" si="7"/>
        <v>59322.8</v>
      </c>
    </row>
    <row r="57" spans="1:26">
      <c r="A57" s="1" t="s">
        <v>122</v>
      </c>
      <c r="B57" s="1">
        <v>81</v>
      </c>
      <c r="C57" s="1" t="s">
        <v>543</v>
      </c>
      <c r="D57" s="1" t="str">
        <f>PROPER(Table3[[#This Row],[Gender]])</f>
        <v>Female</v>
      </c>
      <c r="E57" s="1" t="s">
        <v>550</v>
      </c>
      <c r="F57" s="1" t="str">
        <f>PROPER(Table3[[#This Row],[Country_Region]])</f>
        <v>Pakistan</v>
      </c>
      <c r="G57" s="1">
        <v>2023</v>
      </c>
      <c r="H57" s="1">
        <v>6.3</v>
      </c>
      <c r="I57" s="1">
        <f>IF(H57="", AVERAGEIF('CLEANED DATASET'!$G$2:$G$532,G57,'CLEANED DATASET'!$H114),H57)</f>
        <v>6.3</v>
      </c>
      <c r="J57" s="1">
        <v>2.1</v>
      </c>
      <c r="K57" s="1">
        <f t="shared" si="0"/>
        <v>2.1</v>
      </c>
      <c r="L57" s="1">
        <v>4.8</v>
      </c>
      <c r="M57" s="1">
        <f t="shared" si="1"/>
        <v>4.8</v>
      </c>
      <c r="N57" s="1">
        <v>4.9000000000000004</v>
      </c>
      <c r="O57" s="1">
        <f t="shared" si="2"/>
        <v>4.9000000000000004</v>
      </c>
      <c r="P57" s="1">
        <v>1.5</v>
      </c>
      <c r="Q57" s="1">
        <f t="shared" si="8"/>
        <v>1.5</v>
      </c>
      <c r="R57" s="1" t="s">
        <v>572</v>
      </c>
      <c r="S57" s="1" t="str">
        <f>PROPER(Table3[[#This Row],[Cancer_Type]])</f>
        <v>Leukemia</v>
      </c>
      <c r="T57" s="1" t="s">
        <v>593</v>
      </c>
      <c r="U57" s="4">
        <v>9997.67</v>
      </c>
      <c r="V57" s="1">
        <v>4.5999999999999996</v>
      </c>
      <c r="W57" s="1">
        <f t="shared" ca="1" si="4"/>
        <v>6</v>
      </c>
      <c r="X57" s="1">
        <v>5.23</v>
      </c>
      <c r="Y57" s="1" t="str">
        <f t="shared" si="5"/>
        <v>Stage II</v>
      </c>
      <c r="Z57" s="10">
        <f t="shared" si="7"/>
        <v>9997.67</v>
      </c>
    </row>
    <row r="58" spans="1:26">
      <c r="A58" s="1" t="s">
        <v>311</v>
      </c>
      <c r="B58" s="5">
        <v>57</v>
      </c>
      <c r="C58" s="1" t="s">
        <v>546</v>
      </c>
      <c r="D58" s="1" t="str">
        <f>PROPER(Table3[[#This Row],[Gender]])</f>
        <v>Unknown</v>
      </c>
      <c r="E58" s="1" t="s">
        <v>551</v>
      </c>
      <c r="F58" s="1" t="str">
        <f>PROPER(Table3[[#This Row],[Country_Region]])</f>
        <v>Germany</v>
      </c>
      <c r="G58" s="1">
        <v>2022</v>
      </c>
      <c r="H58" s="1">
        <v>0.4</v>
      </c>
      <c r="I58" s="1">
        <f>IF(H58="", AVERAGEIF('CLEANED DATASET'!$G$2:$G$532,G58,'CLEANED DATASET'!$H303),H58)</f>
        <v>0.4</v>
      </c>
      <c r="J58" s="1">
        <v>0.3</v>
      </c>
      <c r="K58" s="1">
        <f t="shared" si="0"/>
        <v>0.3</v>
      </c>
      <c r="L58" s="1">
        <v>5.3</v>
      </c>
      <c r="M58" s="1">
        <f t="shared" si="1"/>
        <v>5.3</v>
      </c>
      <c r="N58" s="1">
        <v>7.1</v>
      </c>
      <c r="O58" s="1">
        <f t="shared" si="2"/>
        <v>7.1</v>
      </c>
      <c r="P58" s="1">
        <v>1.9</v>
      </c>
      <c r="Q58" s="1">
        <f t="shared" si="8"/>
        <v>1.9</v>
      </c>
      <c r="R58" s="1" t="s">
        <v>570</v>
      </c>
      <c r="S58" s="1" t="str">
        <f>PROPER(Table3[[#This Row],[Cancer_Type]])</f>
        <v>Skin</v>
      </c>
      <c r="T58" s="1" t="s">
        <v>592</v>
      </c>
      <c r="U58" s="4">
        <v>86571.26</v>
      </c>
      <c r="V58" s="1">
        <f>ROUND(10-((I58+K58+M58+O58+Q58)/5),1)</f>
        <v>7</v>
      </c>
      <c r="W58" s="1">
        <f t="shared" ca="1" si="4"/>
        <v>8</v>
      </c>
      <c r="X58" s="1">
        <v>2.8</v>
      </c>
      <c r="Y58" s="1" t="str">
        <f t="shared" si="5"/>
        <v>Stage I</v>
      </c>
      <c r="Z58" s="10">
        <f t="shared" si="7"/>
        <v>86571.26</v>
      </c>
    </row>
    <row r="59" spans="1:26">
      <c r="A59" s="1" t="s">
        <v>487</v>
      </c>
      <c r="B59" s="5">
        <v>54</v>
      </c>
      <c r="C59" s="1" t="s">
        <v>543</v>
      </c>
      <c r="D59" s="1" t="str">
        <f>PROPER(Table3[[#This Row],[Gender]])</f>
        <v>Female</v>
      </c>
      <c r="E59" s="1" t="s">
        <v>560</v>
      </c>
      <c r="F59" s="1" t="str">
        <f>PROPER(Table3[[#This Row],[Country_Region]])</f>
        <v>Usa</v>
      </c>
      <c r="G59" s="1">
        <v>2024</v>
      </c>
      <c r="H59" s="1">
        <v>1.6</v>
      </c>
      <c r="I59" s="1">
        <f>IF(H59="", AVERAGEIF('CLEANED DATASET'!$G$2:$G$532,G59,'CLEANED DATASET'!$H479),H59)</f>
        <v>1.6</v>
      </c>
      <c r="J59" s="1">
        <v>8.3000000000000007</v>
      </c>
      <c r="K59" s="1">
        <f t="shared" si="0"/>
        <v>8.3000000000000007</v>
      </c>
      <c r="L59" s="1">
        <v>4.5999999999999996</v>
      </c>
      <c r="M59" s="1">
        <f t="shared" si="1"/>
        <v>4.5999999999999996</v>
      </c>
      <c r="N59" s="1">
        <v>1.1000000000000001</v>
      </c>
      <c r="O59" s="1">
        <f t="shared" si="2"/>
        <v>1.1000000000000001</v>
      </c>
      <c r="P59" s="1">
        <v>3.6</v>
      </c>
      <c r="Q59" s="1">
        <f t="shared" si="8"/>
        <v>3.6</v>
      </c>
      <c r="R59" s="1" t="s">
        <v>576</v>
      </c>
      <c r="S59" s="1" t="str">
        <f>PROPER(Table3[[#This Row],[Cancer_Type]])</f>
        <v>Cervical</v>
      </c>
      <c r="T59" s="1" t="s">
        <v>593</v>
      </c>
      <c r="U59" s="4">
        <v>99116.71</v>
      </c>
      <c r="V59" s="1">
        <v>1.8</v>
      </c>
      <c r="W59" s="1">
        <f t="shared" ca="1" si="4"/>
        <v>7</v>
      </c>
      <c r="X59" s="1">
        <v>2.85</v>
      </c>
      <c r="Y59" s="1" t="str">
        <f t="shared" si="5"/>
        <v>Stage I</v>
      </c>
      <c r="Z59" s="10">
        <f t="shared" si="7"/>
        <v>99116.71</v>
      </c>
    </row>
    <row r="60" spans="1:26">
      <c r="A60" s="1" t="s">
        <v>282</v>
      </c>
      <c r="B60" s="1">
        <v>63</v>
      </c>
      <c r="C60" s="1" t="s">
        <v>541</v>
      </c>
      <c r="D60" s="1" t="str">
        <f>PROPER(Table3[[#This Row],[Gender]])</f>
        <v>Other</v>
      </c>
      <c r="E60" s="1" t="s">
        <v>555</v>
      </c>
      <c r="F60" s="1" t="str">
        <f>PROPER(Table3[[#This Row],[Country_Region]])</f>
        <v>Russia</v>
      </c>
      <c r="G60" s="1">
        <v>2024</v>
      </c>
      <c r="H60" s="1">
        <v>0.9</v>
      </c>
      <c r="I60" s="1">
        <f>IF(H60="", AVERAGEIF('CLEANED DATASET'!$G$2:$G$532,G60,'CLEANED DATASET'!$H274),H60)</f>
        <v>0.9</v>
      </c>
      <c r="J60" s="1">
        <v>2.1</v>
      </c>
      <c r="K60" s="1">
        <f t="shared" si="0"/>
        <v>2.1</v>
      </c>
      <c r="L60" s="1">
        <v>6.8</v>
      </c>
      <c r="M60" s="1">
        <f t="shared" si="1"/>
        <v>6.8</v>
      </c>
      <c r="N60" s="1">
        <v>7.4</v>
      </c>
      <c r="O60" s="1">
        <f t="shared" si="2"/>
        <v>7.4</v>
      </c>
      <c r="P60" s="1">
        <v>9.4</v>
      </c>
      <c r="Q60" s="1">
        <f t="shared" si="8"/>
        <v>9.4</v>
      </c>
      <c r="R60" s="1" t="s">
        <v>579</v>
      </c>
      <c r="S60" s="1" t="str">
        <f>PROPER(Table3[[#This Row],[Cancer_Type]])</f>
        <v>Prostate</v>
      </c>
      <c r="T60" s="1" t="s">
        <v>594</v>
      </c>
      <c r="U60" s="4">
        <v>92584.86</v>
      </c>
      <c r="V60" s="1">
        <v>2.9</v>
      </c>
      <c r="W60" s="1">
        <f t="shared" ca="1" si="4"/>
        <v>6</v>
      </c>
      <c r="X60" s="1">
        <v>4.08</v>
      </c>
      <c r="Y60" s="1" t="str">
        <f t="shared" si="5"/>
        <v>Stage II</v>
      </c>
      <c r="Z60" s="10">
        <f t="shared" si="7"/>
        <v>92584.86</v>
      </c>
    </row>
    <row r="61" spans="1:26">
      <c r="A61" s="1" t="s">
        <v>485</v>
      </c>
      <c r="B61" s="1">
        <v>57</v>
      </c>
      <c r="C61" s="1" t="s">
        <v>543</v>
      </c>
      <c r="D61" s="1" t="str">
        <f>PROPER(Table3[[#This Row],[Gender]])</f>
        <v>Female</v>
      </c>
      <c r="E61" s="1" t="s">
        <v>556</v>
      </c>
      <c r="F61" s="1" t="str">
        <f>PROPER(Table3[[#This Row],[Country_Region]])</f>
        <v>India</v>
      </c>
      <c r="G61" s="1">
        <v>2023</v>
      </c>
      <c r="H61" s="1">
        <v>8.9</v>
      </c>
      <c r="I61" s="1">
        <f>IF(H61="", AVERAGEIF('CLEANED DATASET'!$G$2:$G$532,G61,'CLEANED DATASET'!$H477),H61)</f>
        <v>8.9</v>
      </c>
      <c r="J61" s="1">
        <v>9.6</v>
      </c>
      <c r="K61" s="1">
        <f t="shared" si="0"/>
        <v>9.6</v>
      </c>
      <c r="L61" s="1">
        <v>5.3</v>
      </c>
      <c r="M61" s="1">
        <f t="shared" si="1"/>
        <v>5.3</v>
      </c>
      <c r="N61" s="1">
        <v>0.4</v>
      </c>
      <c r="O61" s="1">
        <f t="shared" si="2"/>
        <v>0.4</v>
      </c>
      <c r="P61" s="1">
        <v>5.6</v>
      </c>
      <c r="Q61" s="1">
        <f t="shared" si="8"/>
        <v>5.6</v>
      </c>
      <c r="R61" s="1" t="s">
        <v>573</v>
      </c>
      <c r="S61" s="1" t="str">
        <f>PROPER(Table3[[#This Row],[Cancer_Type]])</f>
        <v>Breast</v>
      </c>
      <c r="T61" s="1" t="s">
        <v>593</v>
      </c>
      <c r="U61" s="4">
        <v>22291.919999999998</v>
      </c>
      <c r="V61" s="1">
        <v>6.8</v>
      </c>
      <c r="W61" s="1">
        <f t="shared" ca="1" si="4"/>
        <v>3</v>
      </c>
      <c r="X61" s="1">
        <v>6.21</v>
      </c>
      <c r="Y61" s="1" t="str">
        <f t="shared" si="5"/>
        <v>Stage III</v>
      </c>
      <c r="Z61" s="10">
        <f t="shared" si="7"/>
        <v>22291.919999999998</v>
      </c>
    </row>
    <row r="62" spans="1:26">
      <c r="A62" s="1" t="s">
        <v>185</v>
      </c>
      <c r="B62" s="1">
        <v>85</v>
      </c>
      <c r="C62" s="1" t="s">
        <v>546</v>
      </c>
      <c r="D62" s="1" t="str">
        <f>PROPER(Table3[[#This Row],[Gender]])</f>
        <v>Unknown</v>
      </c>
      <c r="E62" s="1" t="s">
        <v>569</v>
      </c>
      <c r="F62" s="1" t="str">
        <f>PROPER(Table3[[#This Row],[Country_Region]])</f>
        <v>Usa</v>
      </c>
      <c r="G62" s="1">
        <v>2023</v>
      </c>
      <c r="H62" s="1">
        <v>3.7</v>
      </c>
      <c r="I62" s="1">
        <f>IF(H62="", AVERAGEIF('CLEANED DATASET'!$G$2:$G$532,G62,'CLEANED DATASET'!$H177),H62)</f>
        <v>3.7</v>
      </c>
      <c r="J62" s="1">
        <v>9.4</v>
      </c>
      <c r="K62" s="1">
        <f t="shared" si="0"/>
        <v>9.4</v>
      </c>
      <c r="L62" s="1">
        <v>1.6</v>
      </c>
      <c r="M62" s="1">
        <f t="shared" si="1"/>
        <v>1.6</v>
      </c>
      <c r="N62" s="1">
        <v>8.1</v>
      </c>
      <c r="O62" s="1">
        <f t="shared" si="2"/>
        <v>8.1</v>
      </c>
      <c r="P62" s="1">
        <v>0.8</v>
      </c>
      <c r="Q62" s="1">
        <f t="shared" si="8"/>
        <v>0.8</v>
      </c>
      <c r="R62" s="1" t="s">
        <v>604</v>
      </c>
      <c r="S62" s="1" t="str">
        <f>PROPER(Table3[[#This Row],[Cancer_Type]])</f>
        <v>Unknown</v>
      </c>
      <c r="T62" s="1"/>
      <c r="U62" s="4"/>
      <c r="V62" s="1">
        <v>1.7</v>
      </c>
      <c r="W62" s="1">
        <f t="shared" ca="1" si="4"/>
        <v>6</v>
      </c>
      <c r="X62" s="1">
        <v>4.7699999999999996</v>
      </c>
      <c r="Y62" s="1" t="str">
        <f t="shared" si="5"/>
        <v>Stage II</v>
      </c>
      <c r="Z62" s="10">
        <f t="shared" si="7"/>
        <v>47569.3</v>
      </c>
    </row>
    <row r="63" spans="1:26">
      <c r="A63" s="1" t="s">
        <v>410</v>
      </c>
      <c r="B63" s="1">
        <v>38</v>
      </c>
      <c r="C63" s="1" t="s">
        <v>543</v>
      </c>
      <c r="D63" s="1" t="str">
        <f>PROPER(Table3[[#This Row],[Gender]])</f>
        <v>Female</v>
      </c>
      <c r="E63" s="1" t="s">
        <v>552</v>
      </c>
      <c r="F63" s="1" t="str">
        <f>PROPER(Table3[[#This Row],[Country_Region]])</f>
        <v>China</v>
      </c>
      <c r="G63" s="1">
        <v>2024</v>
      </c>
      <c r="H63" s="1">
        <v>7.8</v>
      </c>
      <c r="I63" s="1">
        <f>IF(H63="", AVERAGEIF('CLEANED DATASET'!$G$2:$G$532,G63,'CLEANED DATASET'!$H402),H63)</f>
        <v>7.8</v>
      </c>
      <c r="J63" s="1">
        <v>9.4</v>
      </c>
      <c r="K63" s="1">
        <f t="shared" si="0"/>
        <v>9.4</v>
      </c>
      <c r="L63" s="1">
        <v>1.7</v>
      </c>
      <c r="M63" s="1">
        <f t="shared" si="1"/>
        <v>1.7</v>
      </c>
      <c r="N63" s="1">
        <v>0.9</v>
      </c>
      <c r="O63" s="1">
        <f t="shared" si="2"/>
        <v>0.9</v>
      </c>
      <c r="P63" s="1">
        <v>9.5</v>
      </c>
      <c r="Q63" s="1">
        <f t="shared" si="8"/>
        <v>9.5</v>
      </c>
      <c r="R63" s="1" t="s">
        <v>578</v>
      </c>
      <c r="S63" s="1" t="str">
        <f>PROPER(Table3[[#This Row],[Cancer_Type]])</f>
        <v>Liver</v>
      </c>
      <c r="T63" s="1" t="s">
        <v>592</v>
      </c>
      <c r="U63" s="4">
        <v>82680.06</v>
      </c>
      <c r="V63" s="1">
        <v>1.1000000000000001</v>
      </c>
      <c r="W63" s="1">
        <f t="shared" ca="1" si="4"/>
        <v>6</v>
      </c>
      <c r="X63" s="1">
        <v>4.7</v>
      </c>
      <c r="Y63" s="1" t="str">
        <f t="shared" si="5"/>
        <v>Stage II</v>
      </c>
      <c r="Z63" s="10">
        <f t="shared" si="7"/>
        <v>82680.06</v>
      </c>
    </row>
    <row r="64" spans="1:26">
      <c r="A64" s="1" t="s">
        <v>71</v>
      </c>
      <c r="B64" s="1">
        <v>78</v>
      </c>
      <c r="C64" s="1" t="s">
        <v>546</v>
      </c>
      <c r="D64" s="1" t="str">
        <f>PROPER(Table3[[#This Row],[Gender]])</f>
        <v>Unknown</v>
      </c>
      <c r="E64" s="5" t="s">
        <v>555</v>
      </c>
      <c r="F64" s="1" t="str">
        <f>PROPER(Table3[[#This Row],[Country_Region]])</f>
        <v>Russia</v>
      </c>
      <c r="G64" s="1">
        <v>2022</v>
      </c>
      <c r="H64" s="1">
        <v>2.9</v>
      </c>
      <c r="I64" s="1">
        <f>IF(H64="", AVERAGEIF('CLEANED DATASET'!$G$2:$G$532,G64,'CLEANED DATASET'!$H63),H64)</f>
        <v>2.9</v>
      </c>
      <c r="J64" s="1">
        <v>5.2</v>
      </c>
      <c r="K64" s="1">
        <f t="shared" si="0"/>
        <v>5.2</v>
      </c>
      <c r="L64" s="1">
        <v>2.9</v>
      </c>
      <c r="M64" s="1">
        <f t="shared" si="1"/>
        <v>2.9</v>
      </c>
      <c r="N64" s="1">
        <v>4</v>
      </c>
      <c r="O64" s="1">
        <f t="shared" si="2"/>
        <v>4</v>
      </c>
      <c r="P64" s="1">
        <v>1.8</v>
      </c>
      <c r="Q64" s="1">
        <f t="shared" si="8"/>
        <v>1.8</v>
      </c>
      <c r="R64" s="1" t="s">
        <v>579</v>
      </c>
      <c r="S64" s="1" t="str">
        <f>PROPER(Table3[[#This Row],[Cancer_Type]])</f>
        <v>Prostate</v>
      </c>
      <c r="T64" s="1" t="s">
        <v>592</v>
      </c>
      <c r="U64" s="4">
        <v>45484.05</v>
      </c>
      <c r="V64" s="1">
        <v>0.4</v>
      </c>
      <c r="W64" s="1">
        <f t="shared" ca="1" si="4"/>
        <v>8</v>
      </c>
      <c r="X64" s="1">
        <v>3.87</v>
      </c>
      <c r="Y64" s="1" t="str">
        <f t="shared" si="5"/>
        <v>Stage I</v>
      </c>
      <c r="Z64" s="10">
        <f t="shared" si="7"/>
        <v>45484.05</v>
      </c>
    </row>
    <row r="65" spans="1:26">
      <c r="A65" s="1" t="s">
        <v>413</v>
      </c>
      <c r="B65" s="1">
        <v>63</v>
      </c>
      <c r="C65" s="1" t="s">
        <v>541</v>
      </c>
      <c r="D65" s="1" t="str">
        <f>PROPER(Table3[[#This Row],[Gender]])</f>
        <v>Other</v>
      </c>
      <c r="E65" s="1" t="s">
        <v>551</v>
      </c>
      <c r="F65" s="1" t="str">
        <f>PROPER(Table3[[#This Row],[Country_Region]])</f>
        <v>Germany</v>
      </c>
      <c r="G65" s="1">
        <v>2022</v>
      </c>
      <c r="H65" s="1">
        <v>9.8000000000000007</v>
      </c>
      <c r="I65" s="1">
        <f>IF(H65="", AVERAGEIF('CLEANED DATASET'!$G$2:$G$532,G65,'CLEANED DATASET'!$H405),H65)</f>
        <v>9.8000000000000007</v>
      </c>
      <c r="J65" s="1">
        <v>2</v>
      </c>
      <c r="K65" s="1">
        <f t="shared" si="0"/>
        <v>2</v>
      </c>
      <c r="L65" s="1">
        <v>1.4</v>
      </c>
      <c r="M65" s="1">
        <f t="shared" si="1"/>
        <v>1.4</v>
      </c>
      <c r="N65" s="1">
        <v>2.5</v>
      </c>
      <c r="O65" s="1">
        <f t="shared" si="2"/>
        <v>2.5</v>
      </c>
      <c r="P65" s="1">
        <v>0.5</v>
      </c>
      <c r="Q65" s="1">
        <f t="shared" si="8"/>
        <v>0.5</v>
      </c>
      <c r="R65" s="1" t="s">
        <v>579</v>
      </c>
      <c r="S65" s="1" t="str">
        <f>PROPER(Table3[[#This Row],[Cancer_Type]])</f>
        <v>Prostate</v>
      </c>
      <c r="T65" s="1" t="s">
        <v>592</v>
      </c>
      <c r="U65" s="4">
        <v>15087.76</v>
      </c>
      <c r="V65" s="1">
        <f>ROUND(10-((I65+K65+M65+O65+Q65)/5),1)</f>
        <v>6.8</v>
      </c>
      <c r="W65" s="1">
        <f t="shared" ca="1" si="4"/>
        <v>6</v>
      </c>
      <c r="X65" s="1">
        <v>4.72</v>
      </c>
      <c r="Y65" s="1" t="str">
        <f t="shared" si="5"/>
        <v>Stage II</v>
      </c>
      <c r="Z65" s="10">
        <f t="shared" si="7"/>
        <v>15087.76</v>
      </c>
    </row>
    <row r="66" spans="1:26">
      <c r="A66" s="1" t="s">
        <v>270</v>
      </c>
      <c r="B66" s="1">
        <v>72</v>
      </c>
      <c r="C66" s="1" t="s">
        <v>541</v>
      </c>
      <c r="D66" s="1" t="str">
        <f>PROPER(Table3[[#This Row],[Gender]])</f>
        <v>Other</v>
      </c>
      <c r="E66" s="1" t="s">
        <v>548</v>
      </c>
      <c r="F66" s="1" t="str">
        <f>PROPER(Table3[[#This Row],[Country_Region]])</f>
        <v>Uk</v>
      </c>
      <c r="G66" s="1">
        <v>2024</v>
      </c>
      <c r="H66" s="1">
        <v>0.1</v>
      </c>
      <c r="I66" s="1">
        <f>IF(H66="", AVERAGEIF('CLEANED DATASET'!$G$2:$G$532,G66,'CLEANED DATASET'!$H262),H66)</f>
        <v>0.1</v>
      </c>
      <c r="J66" s="1">
        <v>4.5999999999999996</v>
      </c>
      <c r="K66" s="1">
        <f t="shared" ref="K66:K129" si="9">IF(J66="",ROUND(AVERAGEIF(G70:G596,G66,J66:J596),1),J66)</f>
        <v>4.5999999999999996</v>
      </c>
      <c r="L66" s="1">
        <v>9.8000000000000007</v>
      </c>
      <c r="M66" s="1">
        <f t="shared" ref="M66:M129" si="10">IF(L66="", AVERAGEIF(G66:G596, G66,L66:L596),L66)</f>
        <v>9.8000000000000007</v>
      </c>
      <c r="N66" s="1">
        <v>4.3</v>
      </c>
      <c r="O66" s="1">
        <f t="shared" ref="O66:O129" si="11">IF(N66="",AVERAGEIF(G66:G596,G66,N66:N596),N66)</f>
        <v>4.3</v>
      </c>
      <c r="P66" s="1"/>
      <c r="Q66" s="3">
        <f t="shared" ref="Q66:Q68" si="12">IF(P66="",AVERAGEIF(G66:G596,G66,P66:P596),P66)</f>
        <v>4.2192857142857143</v>
      </c>
      <c r="R66" s="1" t="s">
        <v>603</v>
      </c>
      <c r="S66" s="1" t="str">
        <f>PROPER(Table3[[#This Row],[Cancer_Type]])</f>
        <v>Unknown</v>
      </c>
      <c r="T66" s="1" t="s">
        <v>591</v>
      </c>
      <c r="U66" s="4"/>
      <c r="V66" s="1">
        <v>0.5</v>
      </c>
      <c r="W66" s="1">
        <f t="shared" ref="W66:W129" ca="1" si="13">IF(Y66="Stage 0",RANDBETWEEN(9,10),
IF(Y66="Stage I",RANDBETWEEN(7,8),
IF(Y66="Stage II",RANDBETWEEN(5,6),
IF(Y66="Stage III",RANDBETWEEN(3,4),
IF(Y66="Stage IV",RANDBETWEEN(1,2),"")))))</f>
        <v>1</v>
      </c>
      <c r="X66" s="3">
        <f>ROUND(I66+K66+M66+O66+Q66+(10-V66)/6, 2)</f>
        <v>24.6</v>
      </c>
      <c r="Y66" s="1" t="str">
        <f t="shared" ref="Y66:Y129" si="14">IF(X66&lt;=2,"Stage 0",IF(X66&lt;=4,"Stage I",IF(X66&lt;=6,"Stage II",IF(X66&lt;=8,"Stage III", "Stage IV"))))</f>
        <v>Stage IV</v>
      </c>
      <c r="Z66" s="10">
        <f t="shared" si="7"/>
        <v>47569.3</v>
      </c>
    </row>
    <row r="67" spans="1:26">
      <c r="A67" s="1" t="s">
        <v>325</v>
      </c>
      <c r="B67" s="1">
        <v>20</v>
      </c>
      <c r="C67" s="1" t="s">
        <v>543</v>
      </c>
      <c r="D67" s="1" t="str">
        <f>PROPER(Table3[[#This Row],[Gender]])</f>
        <v>Female</v>
      </c>
      <c r="E67" s="1" t="s">
        <v>549</v>
      </c>
      <c r="F67" s="1" t="str">
        <f>PROPER(Table3[[#This Row],[Country_Region]])</f>
        <v>Australia</v>
      </c>
      <c r="G67" s="1">
        <v>2024</v>
      </c>
      <c r="H67" s="1">
        <v>4.9000000000000004</v>
      </c>
      <c r="I67" s="1">
        <f>IF(H67="", AVERAGEIF('CLEANED DATASET'!$G$2:$G$532,G67,'CLEANED DATASET'!$H317),H67)</f>
        <v>4.9000000000000004</v>
      </c>
      <c r="J67" s="1">
        <v>3.7</v>
      </c>
      <c r="K67" s="1">
        <f t="shared" si="9"/>
        <v>3.7</v>
      </c>
      <c r="L67" s="1">
        <v>9.8000000000000007</v>
      </c>
      <c r="M67" s="1">
        <f t="shared" si="10"/>
        <v>9.8000000000000007</v>
      </c>
      <c r="N67" s="1">
        <v>2.8</v>
      </c>
      <c r="O67" s="1">
        <f t="shared" si="11"/>
        <v>2.8</v>
      </c>
      <c r="P67" s="1">
        <v>1.9</v>
      </c>
      <c r="Q67" s="1">
        <f t="shared" si="12"/>
        <v>1.9</v>
      </c>
      <c r="R67" s="1" t="s">
        <v>573</v>
      </c>
      <c r="S67" s="1" t="str">
        <f>PROPER(Table3[[#This Row],[Cancer_Type]])</f>
        <v>Breast</v>
      </c>
      <c r="T67" s="1" t="s">
        <v>592</v>
      </c>
      <c r="U67" s="4">
        <v>75949.91</v>
      </c>
      <c r="V67" s="1">
        <v>8.1</v>
      </c>
      <c r="W67" s="1">
        <f t="shared" ca="1" si="13"/>
        <v>6</v>
      </c>
      <c r="X67" s="1">
        <v>4.24</v>
      </c>
      <c r="Y67" s="1" t="str">
        <f t="shared" si="14"/>
        <v>Stage II</v>
      </c>
      <c r="Z67" s="10">
        <f t="shared" si="7"/>
        <v>75949.91</v>
      </c>
    </row>
    <row r="68" spans="1:26">
      <c r="A68" s="1" t="s">
        <v>460</v>
      </c>
      <c r="B68" s="1">
        <v>82</v>
      </c>
      <c r="C68" s="1" t="s">
        <v>544</v>
      </c>
      <c r="D68" s="1" t="str">
        <f>PROPER(Table3[[#This Row],[Gender]])</f>
        <v>Other</v>
      </c>
      <c r="E68" s="1" t="s">
        <v>551</v>
      </c>
      <c r="F68" s="1" t="str">
        <f>PROPER(Table3[[#This Row],[Country_Region]])</f>
        <v>Germany</v>
      </c>
      <c r="G68" s="1">
        <v>2022</v>
      </c>
      <c r="H68" s="1">
        <v>6.6</v>
      </c>
      <c r="I68" s="1">
        <f>IF(H68="", AVERAGEIF('CLEANED DATASET'!$G$2:$G$532,G68,'CLEANED DATASET'!$H452),H68)</f>
        <v>6.6</v>
      </c>
      <c r="J68" s="1">
        <v>6</v>
      </c>
      <c r="K68" s="1">
        <f t="shared" si="9"/>
        <v>6</v>
      </c>
      <c r="L68" s="1">
        <v>1.4</v>
      </c>
      <c r="M68" s="1">
        <f t="shared" si="10"/>
        <v>1.4</v>
      </c>
      <c r="N68" s="1">
        <v>4.0999999999999996</v>
      </c>
      <c r="O68" s="1">
        <f t="shared" si="11"/>
        <v>4.0999999999999996</v>
      </c>
      <c r="P68" s="1">
        <v>4.9000000000000004</v>
      </c>
      <c r="Q68" s="1">
        <f t="shared" si="12"/>
        <v>4.9000000000000004</v>
      </c>
      <c r="R68" s="1" t="s">
        <v>576</v>
      </c>
      <c r="S68" s="1" t="str">
        <f>PROPER(Table3[[#This Row],[Cancer_Type]])</f>
        <v>Cervical</v>
      </c>
      <c r="T68" s="1" t="s">
        <v>591</v>
      </c>
      <c r="U68" s="4"/>
      <c r="V68" s="1">
        <v>9.6</v>
      </c>
      <c r="W68" s="1">
        <f t="shared" ca="1" si="13"/>
        <v>2</v>
      </c>
      <c r="X68" s="3">
        <f>ROUND(I68+K68+M68+O68+Q68+(10-V68)/6, 2)</f>
        <v>23.07</v>
      </c>
      <c r="Y68" s="1" t="str">
        <f t="shared" si="14"/>
        <v>Stage IV</v>
      </c>
      <c r="Z68" s="10">
        <f t="shared" si="7"/>
        <v>48651.01</v>
      </c>
    </row>
    <row r="69" spans="1:26">
      <c r="A69" s="1" t="s">
        <v>435</v>
      </c>
      <c r="B69" s="1">
        <v>86</v>
      </c>
      <c r="C69" s="1" t="s">
        <v>542</v>
      </c>
      <c r="D69" s="1" t="str">
        <f>PROPER(Table3[[#This Row],[Gender]])</f>
        <v>Male</v>
      </c>
      <c r="E69" s="1" t="s">
        <v>549</v>
      </c>
      <c r="F69" s="1" t="str">
        <f>PROPER(Table3[[#This Row],[Country_Region]])</f>
        <v>Australia</v>
      </c>
      <c r="G69" s="1">
        <v>2023</v>
      </c>
      <c r="H69" s="1">
        <v>8.3000000000000007</v>
      </c>
      <c r="I69" s="1">
        <f>IF(H69="", AVERAGEIF('CLEANED DATASET'!$G$2:$G$532,G69,'CLEANED DATASET'!$H427),H69)</f>
        <v>8.3000000000000007</v>
      </c>
      <c r="J69" s="1">
        <v>6.3</v>
      </c>
      <c r="K69" s="1">
        <f t="shared" si="9"/>
        <v>6.3</v>
      </c>
      <c r="L69" s="1">
        <v>8.5</v>
      </c>
      <c r="M69" s="1">
        <f t="shared" si="10"/>
        <v>8.5</v>
      </c>
      <c r="N69" s="1">
        <v>2.6</v>
      </c>
      <c r="O69" s="1">
        <f t="shared" si="11"/>
        <v>2.6</v>
      </c>
      <c r="P69" s="1">
        <v>-99</v>
      </c>
      <c r="Q69" s="3">
        <v>99</v>
      </c>
      <c r="R69" s="1" t="s">
        <v>570</v>
      </c>
      <c r="S69" s="1" t="str">
        <f>PROPER(Table3[[#This Row],[Cancer_Type]])</f>
        <v>Skin</v>
      </c>
      <c r="T69" s="1" t="s">
        <v>593</v>
      </c>
      <c r="U69" s="4">
        <v>47573.39</v>
      </c>
      <c r="V69" s="1">
        <v>3</v>
      </c>
      <c r="W69" s="1">
        <f t="shared" ca="1" si="13"/>
        <v>5</v>
      </c>
      <c r="X69" s="1">
        <v>5.64</v>
      </c>
      <c r="Y69" s="1" t="str">
        <f t="shared" si="14"/>
        <v>Stage II</v>
      </c>
      <c r="Z69" s="10">
        <f t="shared" si="7"/>
        <v>47573.39</v>
      </c>
    </row>
    <row r="70" spans="1:26">
      <c r="A70" s="1" t="s">
        <v>336</v>
      </c>
      <c r="B70" s="1">
        <v>29</v>
      </c>
      <c r="C70" s="1" t="s">
        <v>543</v>
      </c>
      <c r="D70" s="1" t="str">
        <f>PROPER(Table3[[#This Row],[Gender]])</f>
        <v>Female</v>
      </c>
      <c r="E70" s="1" t="s">
        <v>550</v>
      </c>
      <c r="F70" s="1" t="str">
        <f>PROPER(Table3[[#This Row],[Country_Region]])</f>
        <v>Pakistan</v>
      </c>
      <c r="G70" s="1">
        <v>2023</v>
      </c>
      <c r="H70" s="1">
        <v>4</v>
      </c>
      <c r="I70" s="1">
        <f>IF(H70="", AVERAGEIF('CLEANED DATASET'!$G$2:$G$532,G70,'CLEANED DATASET'!$H328),H70)</f>
        <v>4</v>
      </c>
      <c r="J70" s="1">
        <v>0.6</v>
      </c>
      <c r="K70" s="1">
        <f t="shared" si="9"/>
        <v>0.6</v>
      </c>
      <c r="L70" s="1">
        <v>8.8000000000000007</v>
      </c>
      <c r="M70" s="1">
        <f t="shared" si="10"/>
        <v>8.8000000000000007</v>
      </c>
      <c r="N70" s="1">
        <v>7.1</v>
      </c>
      <c r="O70" s="1">
        <f t="shared" si="11"/>
        <v>7.1</v>
      </c>
      <c r="P70" s="1">
        <v>0.8</v>
      </c>
      <c r="Q70" s="1">
        <f t="shared" ref="Q70:Q101" si="15">IF(P70="",AVERAGEIF(G70:G600,G70,P70:P600),P70)</f>
        <v>0.8</v>
      </c>
      <c r="R70" s="1" t="s">
        <v>584</v>
      </c>
      <c r="S70" s="1" t="str">
        <f>PROPER(Table3[[#This Row],[Cancer_Type]])</f>
        <v>Skin</v>
      </c>
      <c r="T70" s="1" t="s">
        <v>592</v>
      </c>
      <c r="U70" s="4">
        <v>26393.439999999999</v>
      </c>
      <c r="V70" s="1">
        <v>4.0999999999999996</v>
      </c>
      <c r="W70" s="1">
        <f t="shared" ca="1" si="13"/>
        <v>5</v>
      </c>
      <c r="X70" s="1">
        <v>5.18</v>
      </c>
      <c r="Y70" s="1" t="str">
        <f t="shared" si="14"/>
        <v>Stage II</v>
      </c>
      <c r="Z70" s="10">
        <f t="shared" si="7"/>
        <v>26393.439999999999</v>
      </c>
    </row>
    <row r="71" spans="1:26">
      <c r="A71" s="1" t="s">
        <v>178</v>
      </c>
      <c r="B71" s="1">
        <v>64</v>
      </c>
      <c r="C71" s="1" t="s">
        <v>542</v>
      </c>
      <c r="D71" s="1" t="str">
        <f>PROPER(Table3[[#This Row],[Gender]])</f>
        <v>Male</v>
      </c>
      <c r="E71" s="1" t="s">
        <v>565</v>
      </c>
      <c r="F71" s="1" t="str">
        <f>PROPER(Table3[[#This Row],[Country_Region]])</f>
        <v>Uk</v>
      </c>
      <c r="G71" s="1">
        <v>2023</v>
      </c>
      <c r="H71" s="1">
        <v>2.2000000000000002</v>
      </c>
      <c r="I71" s="1">
        <f>IF(H71="", AVERAGEIF('CLEANED DATASET'!$G$2:$G$532,G71,'CLEANED DATASET'!$H170),H71)</f>
        <v>2.2000000000000002</v>
      </c>
      <c r="J71" s="1">
        <v>0.5</v>
      </c>
      <c r="K71" s="1">
        <f t="shared" si="9"/>
        <v>0.5</v>
      </c>
      <c r="L71" s="1">
        <v>0.4</v>
      </c>
      <c r="M71" s="1">
        <f t="shared" si="10"/>
        <v>0.4</v>
      </c>
      <c r="N71" s="1">
        <v>7.7</v>
      </c>
      <c r="O71" s="1">
        <f t="shared" si="11"/>
        <v>7.7</v>
      </c>
      <c r="P71" s="1">
        <v>1.7</v>
      </c>
      <c r="Q71" s="1">
        <f t="shared" si="15"/>
        <v>1.7</v>
      </c>
      <c r="R71" s="1" t="s">
        <v>570</v>
      </c>
      <c r="S71" s="1" t="str">
        <f>PROPER(Table3[[#This Row],[Cancer_Type]])</f>
        <v>Skin</v>
      </c>
      <c r="T71" s="1" t="s">
        <v>594</v>
      </c>
      <c r="U71" s="4">
        <v>13901.15</v>
      </c>
      <c r="V71" s="1">
        <v>4.9000000000000004</v>
      </c>
      <c r="W71" s="1">
        <f t="shared" ca="1" si="13"/>
        <v>6</v>
      </c>
      <c r="X71" s="1">
        <v>4.01</v>
      </c>
      <c r="Y71" s="1" t="str">
        <f t="shared" si="14"/>
        <v>Stage II</v>
      </c>
      <c r="Z71" s="10">
        <f t="shared" si="7"/>
        <v>13901.15</v>
      </c>
    </row>
    <row r="72" spans="1:26">
      <c r="A72" s="1" t="s">
        <v>134</v>
      </c>
      <c r="B72" s="1">
        <v>29</v>
      </c>
      <c r="C72" s="1" t="s">
        <v>542</v>
      </c>
      <c r="D72" s="1" t="str">
        <f>PROPER(Table3[[#This Row],[Gender]])</f>
        <v>Male</v>
      </c>
      <c r="E72" s="1" t="s">
        <v>553</v>
      </c>
      <c r="F72" s="1" t="str">
        <f>PROPER(Table3[[#This Row],[Country_Region]])</f>
        <v>Canada</v>
      </c>
      <c r="G72" s="1">
        <v>2022</v>
      </c>
      <c r="H72" s="1">
        <v>1.5</v>
      </c>
      <c r="I72" s="1">
        <f>IF(H72="", AVERAGEIF('CLEANED DATASET'!$G$2:$G$532,G72,'CLEANED DATASET'!$H126),H72)</f>
        <v>1.5</v>
      </c>
      <c r="J72" s="1">
        <v>1.8</v>
      </c>
      <c r="K72" s="1">
        <f t="shared" si="9"/>
        <v>1.8</v>
      </c>
      <c r="L72" s="1">
        <v>2.4</v>
      </c>
      <c r="M72" s="1">
        <f t="shared" si="10"/>
        <v>2.4</v>
      </c>
      <c r="N72" s="1">
        <v>0.3</v>
      </c>
      <c r="O72" s="1">
        <f t="shared" si="11"/>
        <v>0.3</v>
      </c>
      <c r="P72" s="1">
        <v>8</v>
      </c>
      <c r="Q72" s="1">
        <f t="shared" si="15"/>
        <v>8</v>
      </c>
      <c r="R72" s="1" t="s">
        <v>574</v>
      </c>
      <c r="S72" s="1" t="str">
        <f>PROPER(Table3[[#This Row],[Cancer_Type]])</f>
        <v>Colon</v>
      </c>
      <c r="T72" s="1" t="s">
        <v>591</v>
      </c>
      <c r="U72" s="4"/>
      <c r="V72" s="1">
        <f>ROUND(10-((I72+K72+M72+O72+Q72)/5),1)</f>
        <v>7.2</v>
      </c>
      <c r="W72" s="1">
        <f t="shared" ca="1" si="13"/>
        <v>7</v>
      </c>
      <c r="X72" s="1">
        <v>2.0699999999999998</v>
      </c>
      <c r="Y72" s="1" t="str">
        <f t="shared" si="14"/>
        <v>Stage I</v>
      </c>
      <c r="Z72" s="10">
        <f t="shared" si="7"/>
        <v>58769.82</v>
      </c>
    </row>
    <row r="73" spans="1:26">
      <c r="A73" s="1" t="s">
        <v>229</v>
      </c>
      <c r="B73" s="1">
        <v>66</v>
      </c>
      <c r="C73" s="1" t="s">
        <v>543</v>
      </c>
      <c r="D73" s="1" t="str">
        <f>PROPER(Table3[[#This Row],[Gender]])</f>
        <v>Female</v>
      </c>
      <c r="E73" s="1" t="s">
        <v>560</v>
      </c>
      <c r="F73" s="1" t="str">
        <f>PROPER(Table3[[#This Row],[Country_Region]])</f>
        <v>Usa</v>
      </c>
      <c r="G73" s="1">
        <v>2022</v>
      </c>
      <c r="H73" s="1">
        <v>1.5</v>
      </c>
      <c r="I73" s="1">
        <f>IF(H73="", AVERAGEIF('CLEANED DATASET'!$G$2:$G$532,G73,'CLEANED DATASET'!$H221),H73)</f>
        <v>1.5</v>
      </c>
      <c r="J73" s="1">
        <v>1.7</v>
      </c>
      <c r="K73" s="1">
        <f t="shared" si="9"/>
        <v>1.7</v>
      </c>
      <c r="L73" s="1">
        <v>6.1</v>
      </c>
      <c r="M73" s="1">
        <f t="shared" si="10"/>
        <v>6.1</v>
      </c>
      <c r="N73" s="1">
        <v>6.3</v>
      </c>
      <c r="O73" s="1">
        <f t="shared" si="11"/>
        <v>6.3</v>
      </c>
      <c r="P73" s="1">
        <v>1.2</v>
      </c>
      <c r="Q73" s="1">
        <f t="shared" si="15"/>
        <v>1.2</v>
      </c>
      <c r="R73" s="1" t="s">
        <v>583</v>
      </c>
      <c r="S73" s="1" t="str">
        <f>PROPER(Table3[[#This Row],[Cancer_Type]])</f>
        <v>Leukemia</v>
      </c>
      <c r="T73" s="1" t="s">
        <v>594</v>
      </c>
      <c r="U73" s="4">
        <v>8263.86</v>
      </c>
      <c r="V73" s="1">
        <v>5.6</v>
      </c>
      <c r="W73" s="1">
        <f t="shared" ca="1" si="13"/>
        <v>5</v>
      </c>
      <c r="X73" s="1">
        <v>4.68</v>
      </c>
      <c r="Y73" s="1" t="str">
        <f t="shared" si="14"/>
        <v>Stage II</v>
      </c>
      <c r="Z73" s="10">
        <f t="shared" ref="Z73:Z136" si="16">IF(U73&lt;&gt;"",U73,ROUND(AVERAGEIF(S73:S603,S73,U73:U603),2))</f>
        <v>8263.86</v>
      </c>
    </row>
    <row r="74" spans="1:26">
      <c r="A74" s="1" t="s">
        <v>98</v>
      </c>
      <c r="B74" s="1">
        <v>66</v>
      </c>
      <c r="C74" s="1" t="s">
        <v>543</v>
      </c>
      <c r="D74" s="1" t="str">
        <f>PROPER(Table3[[#This Row],[Gender]])</f>
        <v>Female</v>
      </c>
      <c r="E74" s="1" t="s">
        <v>549</v>
      </c>
      <c r="F74" s="1" t="str">
        <f>PROPER(Table3[[#This Row],[Country_Region]])</f>
        <v>Australia</v>
      </c>
      <c r="G74" s="1">
        <v>2024</v>
      </c>
      <c r="H74" s="1">
        <v>4.0999999999999996</v>
      </c>
      <c r="I74" s="1">
        <f>IF(H74="", AVERAGEIF('CLEANED DATASET'!$G$2:$G$532,G74,'CLEANED DATASET'!$H90),H74)</f>
        <v>4.0999999999999996</v>
      </c>
      <c r="J74" s="1">
        <v>8.6999999999999993</v>
      </c>
      <c r="K74" s="1">
        <f t="shared" si="9"/>
        <v>8.6999999999999993</v>
      </c>
      <c r="L74" s="1">
        <v>4.3</v>
      </c>
      <c r="M74" s="1">
        <f t="shared" si="10"/>
        <v>4.3</v>
      </c>
      <c r="N74" s="1">
        <v>1.4</v>
      </c>
      <c r="O74" s="1">
        <f t="shared" si="11"/>
        <v>1.4</v>
      </c>
      <c r="P74" s="1">
        <v>7.2</v>
      </c>
      <c r="Q74" s="1">
        <f t="shared" si="15"/>
        <v>7.2</v>
      </c>
      <c r="R74" s="1" t="s">
        <v>572</v>
      </c>
      <c r="S74" s="1" t="str">
        <f>PROPER(Table3[[#This Row],[Cancer_Type]])</f>
        <v>Leukemia</v>
      </c>
      <c r="T74" s="1" t="s">
        <v>593</v>
      </c>
      <c r="U74" s="4">
        <v>99709.77</v>
      </c>
      <c r="V74" s="1">
        <v>8</v>
      </c>
      <c r="W74" s="1">
        <f t="shared" ca="1" si="13"/>
        <v>7</v>
      </c>
      <c r="X74" s="1">
        <v>3.78</v>
      </c>
      <c r="Y74" s="1" t="str">
        <f t="shared" si="14"/>
        <v>Stage I</v>
      </c>
      <c r="Z74" s="10">
        <f t="shared" si="16"/>
        <v>99709.77</v>
      </c>
    </row>
    <row r="75" spans="1:26">
      <c r="A75" s="1" t="s">
        <v>253</v>
      </c>
      <c r="B75" s="1">
        <v>30</v>
      </c>
      <c r="C75" s="1" t="s">
        <v>541</v>
      </c>
      <c r="D75" s="1" t="str">
        <f>PROPER(Table3[[#This Row],[Gender]])</f>
        <v>Other</v>
      </c>
      <c r="E75" s="1" t="s">
        <v>549</v>
      </c>
      <c r="F75" s="1" t="str">
        <f>PROPER(Table3[[#This Row],[Country_Region]])</f>
        <v>Australia</v>
      </c>
      <c r="G75" s="1">
        <v>2023</v>
      </c>
      <c r="H75" s="1">
        <v>3.6</v>
      </c>
      <c r="I75" s="1">
        <f>IF(H75="", AVERAGEIF('CLEANED DATASET'!$G$2:$G$532,G75,'CLEANED DATASET'!$H245),H75)</f>
        <v>3.6</v>
      </c>
      <c r="J75" s="1">
        <v>7.9</v>
      </c>
      <c r="K75" s="1">
        <f t="shared" si="9"/>
        <v>7.9</v>
      </c>
      <c r="L75" s="1">
        <v>7.2</v>
      </c>
      <c r="M75" s="1">
        <f t="shared" si="10"/>
        <v>7.2</v>
      </c>
      <c r="N75" s="1">
        <v>4.7</v>
      </c>
      <c r="O75" s="1">
        <f t="shared" si="11"/>
        <v>4.7</v>
      </c>
      <c r="P75" s="1">
        <v>7.5</v>
      </c>
      <c r="Q75" s="1">
        <f t="shared" si="15"/>
        <v>7.5</v>
      </c>
      <c r="R75" s="1" t="s">
        <v>574</v>
      </c>
      <c r="S75" s="1" t="str">
        <f>PROPER(Table3[[#This Row],[Cancer_Type]])</f>
        <v>Colon</v>
      </c>
      <c r="T75" s="1" t="s">
        <v>590</v>
      </c>
      <c r="U75" s="4">
        <v>71512.58</v>
      </c>
      <c r="V75" s="1">
        <v>6.9</v>
      </c>
      <c r="W75" s="1">
        <f t="shared" ca="1" si="13"/>
        <v>6</v>
      </c>
      <c r="X75" s="1">
        <v>5.24</v>
      </c>
      <c r="Y75" s="1" t="str">
        <f t="shared" si="14"/>
        <v>Stage II</v>
      </c>
      <c r="Z75" s="10">
        <f t="shared" si="16"/>
        <v>71512.58</v>
      </c>
    </row>
    <row r="76" spans="1:26">
      <c r="A76" s="1" t="s">
        <v>33</v>
      </c>
      <c r="B76" s="1">
        <v>88</v>
      </c>
      <c r="C76" s="1" t="s">
        <v>542</v>
      </c>
      <c r="D76" s="1" t="str">
        <f>PROPER(Table3[[#This Row],[Gender]])</f>
        <v>Male</v>
      </c>
      <c r="E76" s="1" t="s">
        <v>551</v>
      </c>
      <c r="F76" s="1" t="str">
        <f>PROPER(Table3[[#This Row],[Country_Region]])</f>
        <v>Germany</v>
      </c>
      <c r="G76" s="1">
        <v>2024</v>
      </c>
      <c r="H76" s="1">
        <v>6.3</v>
      </c>
      <c r="I76" s="1">
        <f>IF(H76="", AVERAGEIF('CLEANED DATASET'!$G$2:$G$532,G76,'CLEANED DATASET'!$H25),H76)</f>
        <v>6.3</v>
      </c>
      <c r="J76" s="1">
        <v>5.7</v>
      </c>
      <c r="K76" s="1">
        <f t="shared" si="9"/>
        <v>5.7</v>
      </c>
      <c r="L76" s="1">
        <v>5.9</v>
      </c>
      <c r="M76" s="1">
        <f t="shared" si="10"/>
        <v>5.9</v>
      </c>
      <c r="N76" s="1">
        <v>5.5</v>
      </c>
      <c r="O76" s="1">
        <f t="shared" si="11"/>
        <v>5.5</v>
      </c>
      <c r="P76" s="1">
        <v>8.8000000000000007</v>
      </c>
      <c r="Q76" s="1">
        <f t="shared" si="15"/>
        <v>8.8000000000000007</v>
      </c>
      <c r="R76" s="1" t="s">
        <v>579</v>
      </c>
      <c r="S76" s="1" t="str">
        <f>PROPER(Table3[[#This Row],[Cancer_Type]])</f>
        <v>Prostate</v>
      </c>
      <c r="T76" s="1" t="s">
        <v>594</v>
      </c>
      <c r="U76" s="4">
        <v>12383.08</v>
      </c>
      <c r="V76" s="1">
        <v>5.3</v>
      </c>
      <c r="W76" s="1">
        <f t="shared" ca="1" si="13"/>
        <v>4</v>
      </c>
      <c r="X76" s="1">
        <v>6.73</v>
      </c>
      <c r="Y76" s="1" t="str">
        <f t="shared" si="14"/>
        <v>Stage III</v>
      </c>
      <c r="Z76" s="10">
        <f t="shared" si="16"/>
        <v>12383.08</v>
      </c>
    </row>
    <row r="77" spans="1:26">
      <c r="A77" s="1" t="s">
        <v>28</v>
      </c>
      <c r="B77" s="1">
        <v>71</v>
      </c>
      <c r="C77" s="1" t="s">
        <v>541</v>
      </c>
      <c r="D77" s="1" t="str">
        <f>PROPER(Table3[[#This Row],[Gender]])</f>
        <v>Other</v>
      </c>
      <c r="E77" s="1" t="s">
        <v>551</v>
      </c>
      <c r="F77" s="1" t="str">
        <f>PROPER(Table3[[#This Row],[Country_Region]])</f>
        <v>Germany</v>
      </c>
      <c r="G77" s="1">
        <v>2023</v>
      </c>
      <c r="H77" s="1">
        <v>7.5</v>
      </c>
      <c r="I77" s="1">
        <f>IF(H77="", AVERAGEIF('CLEANED DATASET'!$G$2:$G$532,G77,'CLEANED DATASET'!$H20),H77)</f>
        <v>7.5</v>
      </c>
      <c r="J77" s="1">
        <v>2</v>
      </c>
      <c r="K77" s="1">
        <f t="shared" si="9"/>
        <v>2</v>
      </c>
      <c r="L77" s="1">
        <v>2.7</v>
      </c>
      <c r="M77" s="1">
        <f t="shared" si="10"/>
        <v>2.7</v>
      </c>
      <c r="N77" s="1">
        <v>2</v>
      </c>
      <c r="O77" s="1">
        <f t="shared" si="11"/>
        <v>2</v>
      </c>
      <c r="P77" s="1">
        <v>8.4</v>
      </c>
      <c r="Q77" s="1">
        <f t="shared" si="15"/>
        <v>8.4</v>
      </c>
      <c r="R77" s="1" t="s">
        <v>570</v>
      </c>
      <c r="S77" s="1" t="str">
        <f>PROPER(Table3[[#This Row],[Cancer_Type]])</f>
        <v>Skin</v>
      </c>
      <c r="T77" s="1" t="s">
        <v>594</v>
      </c>
      <c r="U77" s="4"/>
      <c r="V77" s="1">
        <f>ROUND(10-((I77+K77+M77+O77+Q77)/5),1)</f>
        <v>5.5</v>
      </c>
      <c r="W77" s="1">
        <f t="shared" ca="1" si="13"/>
        <v>8</v>
      </c>
      <c r="X77" s="1">
        <v>3.79</v>
      </c>
      <c r="Y77" s="1" t="str">
        <f t="shared" si="14"/>
        <v>Stage I</v>
      </c>
      <c r="Z77" s="10">
        <f t="shared" si="16"/>
        <v>50256.44</v>
      </c>
    </row>
    <row r="78" spans="1:26">
      <c r="A78" s="1" t="s">
        <v>26</v>
      </c>
      <c r="B78" s="1">
        <v>28</v>
      </c>
      <c r="C78" s="1" t="s">
        <v>543</v>
      </c>
      <c r="D78" s="1" t="str">
        <f>PROPER(Table3[[#This Row],[Gender]])</f>
        <v>Female</v>
      </c>
      <c r="E78" s="1" t="s">
        <v>552</v>
      </c>
      <c r="F78" s="1" t="str">
        <f>PROPER(Table3[[#This Row],[Country_Region]])</f>
        <v>China</v>
      </c>
      <c r="G78" s="1">
        <v>2023</v>
      </c>
      <c r="H78" s="1">
        <v>3.6</v>
      </c>
      <c r="I78" s="1">
        <f>IF(H78="", AVERAGEIF('CLEANED DATASET'!$G$2:$G$532,G78,'CLEANED DATASET'!$H18),H78)</f>
        <v>3.6</v>
      </c>
      <c r="J78" s="1">
        <v>5.6</v>
      </c>
      <c r="K78" s="1">
        <f t="shared" si="9"/>
        <v>5.6</v>
      </c>
      <c r="L78" s="1">
        <v>5.8</v>
      </c>
      <c r="M78" s="1">
        <f t="shared" si="10"/>
        <v>5.8</v>
      </c>
      <c r="N78" s="1">
        <v>6.1</v>
      </c>
      <c r="O78" s="1">
        <f t="shared" si="11"/>
        <v>6.1</v>
      </c>
      <c r="P78" s="1">
        <v>8.9</v>
      </c>
      <c r="Q78" s="1">
        <f t="shared" si="15"/>
        <v>8.9</v>
      </c>
      <c r="R78" s="1" t="s">
        <v>576</v>
      </c>
      <c r="S78" s="1" t="str">
        <f>PROPER(Table3[[#This Row],[Cancer_Type]])</f>
        <v>Cervical</v>
      </c>
      <c r="T78" s="1" t="s">
        <v>593</v>
      </c>
      <c r="U78" s="4">
        <v>63100.02</v>
      </c>
      <c r="V78" s="1">
        <v>9.1</v>
      </c>
      <c r="W78" s="1">
        <f t="shared" ca="1" si="13"/>
        <v>5</v>
      </c>
      <c r="X78" s="1">
        <v>5.28</v>
      </c>
      <c r="Y78" s="1" t="str">
        <f t="shared" si="14"/>
        <v>Stage II</v>
      </c>
      <c r="Z78" s="10">
        <f t="shared" si="16"/>
        <v>63100.02</v>
      </c>
    </row>
    <row r="79" spans="1:26">
      <c r="A79" s="1" t="s">
        <v>482</v>
      </c>
      <c r="B79" s="1">
        <v>51</v>
      </c>
      <c r="C79" s="1" t="s">
        <v>542</v>
      </c>
      <c r="D79" s="1" t="str">
        <f>PROPER(Table3[[#This Row],[Gender]])</f>
        <v>Male</v>
      </c>
      <c r="E79" s="1" t="s">
        <v>553</v>
      </c>
      <c r="F79" s="1" t="str">
        <f>PROPER(Table3[[#This Row],[Country_Region]])</f>
        <v>Canada</v>
      </c>
      <c r="G79" s="1">
        <v>2023</v>
      </c>
      <c r="H79" s="1">
        <v>4.8</v>
      </c>
      <c r="I79" s="1">
        <f>IF(H79="", AVERAGEIF('CLEANED DATASET'!$G$2:$G$532,G79,'CLEANED DATASET'!$H474),H79)</f>
        <v>4.8</v>
      </c>
      <c r="J79" s="1">
        <v>7.3</v>
      </c>
      <c r="K79" s="1">
        <f t="shared" si="9"/>
        <v>7.3</v>
      </c>
      <c r="L79" s="1">
        <v>5</v>
      </c>
      <c r="M79" s="1">
        <f t="shared" si="10"/>
        <v>5</v>
      </c>
      <c r="N79" s="1">
        <v>1.8</v>
      </c>
      <c r="O79" s="1">
        <f t="shared" si="11"/>
        <v>1.8</v>
      </c>
      <c r="P79" s="1">
        <v>7.4</v>
      </c>
      <c r="Q79" s="1">
        <f t="shared" si="15"/>
        <v>7.4</v>
      </c>
      <c r="R79" s="1" t="s">
        <v>578</v>
      </c>
      <c r="S79" s="1" t="str">
        <f>PROPER(Table3[[#This Row],[Cancer_Type]])</f>
        <v>Liver</v>
      </c>
      <c r="T79" s="1" t="s">
        <v>590</v>
      </c>
      <c r="U79" s="4">
        <v>27043.91</v>
      </c>
      <c r="V79" s="1">
        <v>9.4</v>
      </c>
      <c r="W79" s="1">
        <f t="shared" ca="1" si="13"/>
        <v>6</v>
      </c>
      <c r="X79" s="1">
        <v>5.36</v>
      </c>
      <c r="Y79" s="1" t="str">
        <f t="shared" si="14"/>
        <v>Stage II</v>
      </c>
      <c r="Z79" s="10">
        <f t="shared" si="16"/>
        <v>27043.91</v>
      </c>
    </row>
    <row r="80" spans="1:26">
      <c r="A80" s="1" t="s">
        <v>52</v>
      </c>
      <c r="B80" s="1">
        <v>41</v>
      </c>
      <c r="C80" s="1" t="s">
        <v>541</v>
      </c>
      <c r="D80" s="1" t="str">
        <f>PROPER(Table3[[#This Row],[Gender]])</f>
        <v>Other</v>
      </c>
      <c r="E80" s="1" t="s">
        <v>556</v>
      </c>
      <c r="F80" s="1" t="str">
        <f>PROPER(Table3[[#This Row],[Country_Region]])</f>
        <v>India</v>
      </c>
      <c r="G80" s="1">
        <v>2023</v>
      </c>
      <c r="H80" s="1">
        <v>5.3</v>
      </c>
      <c r="I80" s="1">
        <f>IF(H80="", AVERAGEIF('CLEANED DATASET'!$G$2:$G$532,G80,'CLEANED DATASET'!$H44),H80)</f>
        <v>5.3</v>
      </c>
      <c r="J80" s="1">
        <v>0.5</v>
      </c>
      <c r="K80" s="1">
        <f t="shared" si="9"/>
        <v>0.5</v>
      </c>
      <c r="L80" s="1">
        <v>3.5</v>
      </c>
      <c r="M80" s="1">
        <f t="shared" si="10"/>
        <v>3.5</v>
      </c>
      <c r="N80" s="1">
        <v>0</v>
      </c>
      <c r="O80" s="1">
        <f t="shared" si="11"/>
        <v>0</v>
      </c>
      <c r="P80" s="1">
        <v>1.2</v>
      </c>
      <c r="Q80" s="1">
        <f t="shared" si="15"/>
        <v>1.2</v>
      </c>
      <c r="R80" s="1" t="s">
        <v>546</v>
      </c>
      <c r="S80" s="1" t="str">
        <f>PROPER(Table3[[#This Row],[Cancer_Type]])</f>
        <v>Unknown</v>
      </c>
      <c r="T80" s="1" t="s">
        <v>592</v>
      </c>
      <c r="U80" s="4">
        <v>16485.2</v>
      </c>
      <c r="V80" s="1">
        <v>4.7</v>
      </c>
      <c r="W80" s="1">
        <f t="shared" ca="1" si="13"/>
        <v>7</v>
      </c>
      <c r="X80" s="1">
        <v>3.45</v>
      </c>
      <c r="Y80" s="1" t="str">
        <f t="shared" si="14"/>
        <v>Stage I</v>
      </c>
      <c r="Z80" s="10">
        <f t="shared" si="16"/>
        <v>16485.2</v>
      </c>
    </row>
    <row r="81" spans="1:26">
      <c r="A81" s="1" t="s">
        <v>491</v>
      </c>
      <c r="B81" s="1">
        <v>75</v>
      </c>
      <c r="C81" s="1" t="s">
        <v>543</v>
      </c>
      <c r="D81" s="1" t="str">
        <f>PROPER(Table3[[#This Row],[Gender]])</f>
        <v>Female</v>
      </c>
      <c r="E81" s="1" t="s">
        <v>554</v>
      </c>
      <c r="F81" s="1" t="str">
        <f>PROPER(Table3[[#This Row],[Country_Region]])</f>
        <v>Brazil</v>
      </c>
      <c r="G81" s="1">
        <v>2024</v>
      </c>
      <c r="H81" s="1">
        <v>2.1</v>
      </c>
      <c r="I81" s="1">
        <f>IF(H81="", AVERAGEIF('CLEANED DATASET'!$G$2:$G$532,G81,'CLEANED DATASET'!$H483),H81)</f>
        <v>2.1</v>
      </c>
      <c r="J81" s="1">
        <v>0.6</v>
      </c>
      <c r="K81" s="1">
        <f t="shared" si="9"/>
        <v>0.6</v>
      </c>
      <c r="L81" s="1">
        <v>2.6</v>
      </c>
      <c r="M81" s="1">
        <f t="shared" si="10"/>
        <v>2.6</v>
      </c>
      <c r="N81" s="1">
        <v>5.8</v>
      </c>
      <c r="O81" s="1">
        <f t="shared" si="11"/>
        <v>5.8</v>
      </c>
      <c r="P81" s="1">
        <v>8.1</v>
      </c>
      <c r="Q81" s="1">
        <f t="shared" si="15"/>
        <v>8.1</v>
      </c>
      <c r="R81" s="1" t="s">
        <v>570</v>
      </c>
      <c r="S81" s="1" t="str">
        <f>PROPER(Table3[[#This Row],[Cancer_Type]])</f>
        <v>Skin</v>
      </c>
      <c r="T81" s="1" t="s">
        <v>592</v>
      </c>
      <c r="U81" s="4">
        <v>44650.57</v>
      </c>
      <c r="V81" s="1">
        <v>0.3</v>
      </c>
      <c r="W81" s="1">
        <f t="shared" ca="1" si="13"/>
        <v>7</v>
      </c>
      <c r="X81" s="1">
        <v>3.98</v>
      </c>
      <c r="Y81" s="1" t="str">
        <f t="shared" si="14"/>
        <v>Stage I</v>
      </c>
      <c r="Z81" s="10">
        <f t="shared" si="16"/>
        <v>44650.57</v>
      </c>
    </row>
    <row r="82" spans="1:26">
      <c r="A82" s="1" t="s">
        <v>37</v>
      </c>
      <c r="B82" s="1">
        <v>82</v>
      </c>
      <c r="C82" s="1" t="s">
        <v>541</v>
      </c>
      <c r="D82" s="1" t="str">
        <f>PROPER(Table3[[#This Row],[Gender]])</f>
        <v>Other</v>
      </c>
      <c r="E82" s="1" t="s">
        <v>548</v>
      </c>
      <c r="F82" s="1" t="str">
        <f>PROPER(Table3[[#This Row],[Country_Region]])</f>
        <v>Uk</v>
      </c>
      <c r="G82" s="1">
        <v>2022</v>
      </c>
      <c r="H82" s="1"/>
      <c r="I82" s="3">
        <f ca="1">IF(H82="", AVERAGEIF('CLEANED DATASET'!$G$2:$G$532,G82,'CLEANED DATASET'!$H29),H82)</f>
        <v>5.5143712574850285</v>
      </c>
      <c r="J82" s="1">
        <v>0</v>
      </c>
      <c r="K82" s="1">
        <f t="shared" si="9"/>
        <v>0</v>
      </c>
      <c r="L82" s="1">
        <v>7</v>
      </c>
      <c r="M82" s="1">
        <f t="shared" si="10"/>
        <v>7</v>
      </c>
      <c r="N82" s="1">
        <v>5.3</v>
      </c>
      <c r="O82" s="1">
        <f t="shared" si="11"/>
        <v>5.3</v>
      </c>
      <c r="P82" s="1">
        <v>4.8</v>
      </c>
      <c r="Q82" s="1">
        <f t="shared" si="15"/>
        <v>4.8</v>
      </c>
      <c r="R82" s="1" t="s">
        <v>580</v>
      </c>
      <c r="S82" s="1" t="str">
        <f>PROPER(Table3[[#This Row],[Cancer_Type]])</f>
        <v>Colon</v>
      </c>
      <c r="T82" s="1" t="s">
        <v>592</v>
      </c>
      <c r="U82" s="4">
        <v>43644.15</v>
      </c>
      <c r="V82" s="1">
        <v>2.6</v>
      </c>
      <c r="W82" s="1">
        <f t="shared" ca="1" si="13"/>
        <v>6</v>
      </c>
      <c r="X82" s="1">
        <v>5.32</v>
      </c>
      <c r="Y82" s="1" t="str">
        <f t="shared" si="14"/>
        <v>Stage II</v>
      </c>
      <c r="Z82" s="10">
        <f t="shared" si="16"/>
        <v>43644.15</v>
      </c>
    </row>
    <row r="83" spans="1:26">
      <c r="A83" s="1" t="s">
        <v>73</v>
      </c>
      <c r="B83" s="1">
        <v>58</v>
      </c>
      <c r="C83" s="1" t="s">
        <v>541</v>
      </c>
      <c r="D83" s="1" t="str">
        <f>PROPER(Table3[[#This Row],[Gender]])</f>
        <v>Other</v>
      </c>
      <c r="E83" s="1" t="s">
        <v>553</v>
      </c>
      <c r="F83" s="1" t="str">
        <f>PROPER(Table3[[#This Row],[Country_Region]])</f>
        <v>Canada</v>
      </c>
      <c r="G83" s="1">
        <v>2023</v>
      </c>
      <c r="H83" s="1">
        <v>2.9</v>
      </c>
      <c r="I83" s="1">
        <f>IF(H83="", AVERAGEIF('CLEANED DATASET'!$G$2:$G$532,G83,'CLEANED DATASET'!$H65),H83)</f>
        <v>2.9</v>
      </c>
      <c r="J83" s="1">
        <v>7.5</v>
      </c>
      <c r="K83" s="1">
        <f t="shared" si="9"/>
        <v>7.5</v>
      </c>
      <c r="L83" s="1">
        <v>5.7</v>
      </c>
      <c r="M83" s="1">
        <f t="shared" si="10"/>
        <v>5.7</v>
      </c>
      <c r="N83" s="1">
        <v>4.2</v>
      </c>
      <c r="O83" s="1">
        <f t="shared" si="11"/>
        <v>4.2</v>
      </c>
      <c r="P83" s="1">
        <v>1.8</v>
      </c>
      <c r="Q83" s="1">
        <f t="shared" si="15"/>
        <v>1.8</v>
      </c>
      <c r="R83" s="1" t="s">
        <v>578</v>
      </c>
      <c r="S83" s="1" t="str">
        <f>PROPER(Table3[[#This Row],[Cancer_Type]])</f>
        <v>Liver</v>
      </c>
      <c r="T83" s="1" t="s">
        <v>591</v>
      </c>
      <c r="U83" s="4">
        <v>18138.22</v>
      </c>
      <c r="V83" s="1">
        <v>0.4</v>
      </c>
      <c r="W83" s="1">
        <f t="shared" ca="1" si="13"/>
        <v>5</v>
      </c>
      <c r="X83" s="1">
        <v>5.22</v>
      </c>
      <c r="Y83" s="1" t="str">
        <f t="shared" si="14"/>
        <v>Stage II</v>
      </c>
      <c r="Z83" s="10">
        <f t="shared" si="16"/>
        <v>18138.22</v>
      </c>
    </row>
    <row r="84" spans="1:26">
      <c r="A84" s="1" t="s">
        <v>403</v>
      </c>
      <c r="B84" s="1">
        <v>77</v>
      </c>
      <c r="C84" s="1" t="s">
        <v>542</v>
      </c>
      <c r="D84" s="1" t="str">
        <f>PROPER(Table3[[#This Row],[Gender]])</f>
        <v>Male</v>
      </c>
      <c r="E84" s="1" t="s">
        <v>551</v>
      </c>
      <c r="F84" s="1" t="str">
        <f>PROPER(Table3[[#This Row],[Country_Region]])</f>
        <v>Germany</v>
      </c>
      <c r="G84" s="1">
        <v>2024</v>
      </c>
      <c r="H84" s="1">
        <v>6.2</v>
      </c>
      <c r="I84" s="1">
        <f>IF(H84="", AVERAGEIF('CLEANED DATASET'!$G$2:$G$532,G84,'CLEANED DATASET'!$H395),H84)</f>
        <v>6.2</v>
      </c>
      <c r="J84" s="1">
        <v>7.5</v>
      </c>
      <c r="K84" s="1">
        <f t="shared" si="9"/>
        <v>7.5</v>
      </c>
      <c r="L84" s="1">
        <v>8.3000000000000007</v>
      </c>
      <c r="M84" s="1">
        <f t="shared" si="10"/>
        <v>8.3000000000000007</v>
      </c>
      <c r="N84" s="1">
        <v>1.2</v>
      </c>
      <c r="O84" s="1">
        <f t="shared" si="11"/>
        <v>1.2</v>
      </c>
      <c r="P84" s="1">
        <v>9.8000000000000007</v>
      </c>
      <c r="Q84" s="1">
        <f t="shared" si="15"/>
        <v>9.8000000000000007</v>
      </c>
      <c r="R84" s="1" t="s">
        <v>578</v>
      </c>
      <c r="S84" s="1" t="str">
        <f>PROPER(Table3[[#This Row],[Cancer_Type]])</f>
        <v>Liver</v>
      </c>
      <c r="T84" s="1" t="s">
        <v>591</v>
      </c>
      <c r="U84" s="4">
        <v>78238.86</v>
      </c>
      <c r="V84" s="1">
        <v>7.6</v>
      </c>
      <c r="W84" s="1">
        <f t="shared" ca="1" si="13"/>
        <v>6</v>
      </c>
      <c r="X84" s="1">
        <v>5.27</v>
      </c>
      <c r="Y84" s="1" t="str">
        <f t="shared" si="14"/>
        <v>Stage II</v>
      </c>
      <c r="Z84" s="10">
        <f t="shared" si="16"/>
        <v>78238.86</v>
      </c>
    </row>
    <row r="85" spans="1:26">
      <c r="A85" s="1" t="s">
        <v>462</v>
      </c>
      <c r="B85" s="5">
        <v>33</v>
      </c>
      <c r="C85" s="1" t="s">
        <v>541</v>
      </c>
      <c r="D85" s="1" t="str">
        <f>PROPER(Table3[[#This Row],[Gender]])</f>
        <v>Other</v>
      </c>
      <c r="E85" s="1" t="s">
        <v>563</v>
      </c>
      <c r="F85" s="1" t="str">
        <f>PROPER(Table3[[#This Row],[Country_Region]])</f>
        <v>India</v>
      </c>
      <c r="G85" s="1">
        <v>2022</v>
      </c>
      <c r="H85" s="1">
        <v>3.6</v>
      </c>
      <c r="I85" s="1">
        <f>IF(H85="", AVERAGEIF('CLEANED DATASET'!$G$2:$G$532,G85,'CLEANED DATASET'!$H454),H85)</f>
        <v>3.6</v>
      </c>
      <c r="J85" s="1">
        <v>5</v>
      </c>
      <c r="K85" s="1">
        <f t="shared" si="9"/>
        <v>5</v>
      </c>
      <c r="L85" s="1">
        <v>9.3000000000000007</v>
      </c>
      <c r="M85" s="1">
        <f t="shared" si="10"/>
        <v>9.3000000000000007</v>
      </c>
      <c r="N85" s="1">
        <v>6.7</v>
      </c>
      <c r="O85" s="1">
        <f t="shared" si="11"/>
        <v>6.7</v>
      </c>
      <c r="P85" s="1">
        <v>3.2</v>
      </c>
      <c r="Q85" s="1">
        <f t="shared" si="15"/>
        <v>3.2</v>
      </c>
      <c r="R85" s="1" t="s">
        <v>587</v>
      </c>
      <c r="S85" s="1" t="str">
        <f>PROPER(Table3[[#This Row],[Cancer_Type]])</f>
        <v>Colon</v>
      </c>
      <c r="T85" s="1" t="s">
        <v>591</v>
      </c>
      <c r="U85" s="4"/>
      <c r="V85" s="1">
        <v>0.9</v>
      </c>
      <c r="W85" s="1">
        <f t="shared" ca="1" si="13"/>
        <v>3</v>
      </c>
      <c r="X85" s="1">
        <v>6.2</v>
      </c>
      <c r="Y85" s="1" t="str">
        <f t="shared" si="14"/>
        <v>Stage III</v>
      </c>
      <c r="Z85" s="10">
        <f t="shared" si="16"/>
        <v>58818.45</v>
      </c>
    </row>
    <row r="86" spans="1:26">
      <c r="A86" s="1" t="s">
        <v>490</v>
      </c>
      <c r="B86" s="1">
        <v>28</v>
      </c>
      <c r="C86" s="1" t="s">
        <v>542</v>
      </c>
      <c r="D86" s="1" t="str">
        <f>PROPER(Table3[[#This Row],[Gender]])</f>
        <v>Male</v>
      </c>
      <c r="E86" s="5" t="s">
        <v>554</v>
      </c>
      <c r="F86" s="1" t="str">
        <f>PROPER(Table3[[#This Row],[Country_Region]])</f>
        <v>Brazil</v>
      </c>
      <c r="G86" s="1">
        <v>2024</v>
      </c>
      <c r="H86" s="1">
        <v>4.0999999999999996</v>
      </c>
      <c r="I86" s="1">
        <f>IF(H86="", AVERAGEIF('CLEANED DATASET'!$G$2:$G$532,G86,'CLEANED DATASET'!$H482),H86)</f>
        <v>4.0999999999999996</v>
      </c>
      <c r="J86" s="1">
        <v>1</v>
      </c>
      <c r="K86" s="1">
        <f t="shared" si="9"/>
        <v>1</v>
      </c>
      <c r="L86" s="1">
        <v>9.6</v>
      </c>
      <c r="M86" s="1">
        <f t="shared" si="10"/>
        <v>9.6</v>
      </c>
      <c r="N86" s="1">
        <v>2.7</v>
      </c>
      <c r="O86" s="1">
        <f t="shared" si="11"/>
        <v>2.7</v>
      </c>
      <c r="P86" s="1">
        <v>0.1</v>
      </c>
      <c r="Q86" s="1">
        <f t="shared" si="15"/>
        <v>0.1</v>
      </c>
      <c r="R86" s="1" t="s">
        <v>578</v>
      </c>
      <c r="S86" s="1" t="str">
        <f>PROPER(Table3[[#This Row],[Cancer_Type]])</f>
        <v>Liver</v>
      </c>
      <c r="T86" s="1" t="s">
        <v>592</v>
      </c>
      <c r="U86" s="4">
        <v>88218.13</v>
      </c>
      <c r="V86" s="1">
        <v>6.8</v>
      </c>
      <c r="W86" s="1">
        <f t="shared" ca="1" si="13"/>
        <v>7</v>
      </c>
      <c r="X86" s="1">
        <v>3.2</v>
      </c>
      <c r="Y86" s="1" t="str">
        <f t="shared" si="14"/>
        <v>Stage I</v>
      </c>
      <c r="Z86" s="10">
        <f t="shared" si="16"/>
        <v>88218.13</v>
      </c>
    </row>
    <row r="87" spans="1:26">
      <c r="A87" s="1" t="s">
        <v>386</v>
      </c>
      <c r="B87" s="1">
        <v>64</v>
      </c>
      <c r="C87" s="1" t="s">
        <v>541</v>
      </c>
      <c r="D87" s="1" t="str">
        <f>PROPER(Table3[[#This Row],[Gender]])</f>
        <v>Other</v>
      </c>
      <c r="E87" s="1" t="s">
        <v>552</v>
      </c>
      <c r="F87" s="1" t="str">
        <f>PROPER(Table3[[#This Row],[Country_Region]])</f>
        <v>China</v>
      </c>
      <c r="G87" s="1">
        <v>2024</v>
      </c>
      <c r="H87" s="1">
        <v>3.1</v>
      </c>
      <c r="I87" s="1">
        <f>IF(H87="", AVERAGEIF('CLEANED DATASET'!$G$2:$G$532,G87,'CLEANED DATASET'!$H378),H87)</f>
        <v>3.1</v>
      </c>
      <c r="J87" s="1">
        <v>3.5</v>
      </c>
      <c r="K87" s="1">
        <f t="shared" si="9"/>
        <v>3.5</v>
      </c>
      <c r="L87" s="1">
        <v>6.1</v>
      </c>
      <c r="M87" s="1">
        <f t="shared" si="10"/>
        <v>6.1</v>
      </c>
      <c r="N87" s="1">
        <v>4.5999999999999996</v>
      </c>
      <c r="O87" s="1">
        <f t="shared" si="11"/>
        <v>4.5999999999999996</v>
      </c>
      <c r="P87" s="1">
        <v>8.3000000000000007</v>
      </c>
      <c r="Q87" s="1">
        <f t="shared" si="15"/>
        <v>8.3000000000000007</v>
      </c>
      <c r="R87" s="1" t="s">
        <v>582</v>
      </c>
      <c r="S87" s="1" t="str">
        <f>PROPER(Table3[[#This Row],[Cancer_Type]])</f>
        <v>Lung</v>
      </c>
      <c r="T87" s="1" t="s">
        <v>591</v>
      </c>
      <c r="U87" s="4">
        <v>21815.69</v>
      </c>
      <c r="V87" s="1">
        <v>7.7</v>
      </c>
      <c r="W87" s="1">
        <f t="shared" ca="1" si="13"/>
        <v>6</v>
      </c>
      <c r="X87" s="1">
        <v>5.37</v>
      </c>
      <c r="Y87" s="1" t="str">
        <f t="shared" si="14"/>
        <v>Stage II</v>
      </c>
      <c r="Z87" s="10">
        <f t="shared" si="16"/>
        <v>21815.69</v>
      </c>
    </row>
    <row r="88" spans="1:26">
      <c r="A88" s="1" t="s">
        <v>170</v>
      </c>
      <c r="B88" s="1">
        <v>77</v>
      </c>
      <c r="C88" s="1" t="s">
        <v>541</v>
      </c>
      <c r="D88" s="1" t="str">
        <f>PROPER(Table3[[#This Row],[Gender]])</f>
        <v>Other</v>
      </c>
      <c r="E88" s="1" t="s">
        <v>554</v>
      </c>
      <c r="F88" s="1" t="str">
        <f>PROPER(Table3[[#This Row],[Country_Region]])</f>
        <v>Brazil</v>
      </c>
      <c r="G88" s="1">
        <v>2022</v>
      </c>
      <c r="H88" s="1">
        <v>9.1</v>
      </c>
      <c r="I88" s="1">
        <f>IF(H88="", AVERAGEIF('CLEANED DATASET'!$G$2:$G$532,G88,'CLEANED DATASET'!$H162),H88)</f>
        <v>9.1</v>
      </c>
      <c r="J88" s="1">
        <v>3.1</v>
      </c>
      <c r="K88" s="1">
        <f t="shared" si="9"/>
        <v>3.1</v>
      </c>
      <c r="L88" s="1"/>
      <c r="M88" s="3">
        <f t="shared" si="10"/>
        <v>4.8227586206896573</v>
      </c>
      <c r="N88" s="1">
        <v>2</v>
      </c>
      <c r="O88" s="1">
        <f t="shared" si="11"/>
        <v>2</v>
      </c>
      <c r="P88" s="1">
        <v>4.2</v>
      </c>
      <c r="Q88" s="1">
        <f t="shared" si="15"/>
        <v>4.2</v>
      </c>
      <c r="R88" s="1" t="s">
        <v>578</v>
      </c>
      <c r="S88" s="1" t="str">
        <f>PROPER(Table3[[#This Row],[Cancer_Type]])</f>
        <v>Liver</v>
      </c>
      <c r="T88" s="1" t="s">
        <v>592</v>
      </c>
      <c r="U88" s="4">
        <v>65662.77</v>
      </c>
      <c r="V88" s="1">
        <v>2.7</v>
      </c>
      <c r="W88" s="1">
        <f t="shared" ca="1" si="13"/>
        <v>8</v>
      </c>
      <c r="X88" s="1">
        <v>3.82</v>
      </c>
      <c r="Y88" s="1" t="str">
        <f t="shared" si="14"/>
        <v>Stage I</v>
      </c>
      <c r="Z88" s="10">
        <f t="shared" si="16"/>
        <v>65662.77</v>
      </c>
    </row>
    <row r="89" spans="1:26">
      <c r="A89" s="1" t="s">
        <v>448</v>
      </c>
      <c r="B89" s="1">
        <v>36</v>
      </c>
      <c r="C89" s="1" t="s">
        <v>542</v>
      </c>
      <c r="D89" s="1" t="str">
        <f>PROPER(Table3[[#This Row],[Gender]])</f>
        <v>Male</v>
      </c>
      <c r="E89" s="5" t="s">
        <v>550</v>
      </c>
      <c r="F89" s="1" t="str">
        <f>PROPER(Table3[[#This Row],[Country_Region]])</f>
        <v>Pakistan</v>
      </c>
      <c r="G89" s="1">
        <v>2023</v>
      </c>
      <c r="H89" s="1">
        <v>9.6999999999999993</v>
      </c>
      <c r="I89" s="1">
        <f>IF(H89="", AVERAGEIF('CLEANED DATASET'!$G$2:$G$532,G89,'CLEANED DATASET'!$H440),H89)</f>
        <v>9.6999999999999993</v>
      </c>
      <c r="J89" s="1">
        <v>7.8</v>
      </c>
      <c r="K89" s="1">
        <f t="shared" si="9"/>
        <v>7.8</v>
      </c>
      <c r="L89" s="1">
        <v>2.7</v>
      </c>
      <c r="M89" s="1">
        <f t="shared" si="10"/>
        <v>2.7</v>
      </c>
      <c r="N89" s="1">
        <v>5.3</v>
      </c>
      <c r="O89" s="1">
        <f t="shared" si="11"/>
        <v>5.3</v>
      </c>
      <c r="P89" s="1">
        <v>3</v>
      </c>
      <c r="Q89" s="1">
        <f t="shared" si="15"/>
        <v>3</v>
      </c>
      <c r="R89" s="1" t="s">
        <v>579</v>
      </c>
      <c r="S89" s="1" t="str">
        <f>PROPER(Table3[[#This Row],[Cancer_Type]])</f>
        <v>Prostate</v>
      </c>
      <c r="T89" s="1" t="s">
        <v>591</v>
      </c>
      <c r="U89" s="4">
        <v>26926.13</v>
      </c>
      <c r="V89" s="1">
        <v>9.1999999999999993</v>
      </c>
      <c r="W89" s="1">
        <f t="shared" ca="1" si="13"/>
        <v>4</v>
      </c>
      <c r="X89" s="1">
        <v>6.34</v>
      </c>
      <c r="Y89" s="1" t="str">
        <f t="shared" si="14"/>
        <v>Stage III</v>
      </c>
      <c r="Z89" s="10">
        <f t="shared" si="16"/>
        <v>26926.13</v>
      </c>
    </row>
    <row r="90" spans="1:26">
      <c r="A90" s="1" t="s">
        <v>200</v>
      </c>
      <c r="B90" s="1">
        <v>51</v>
      </c>
      <c r="C90" s="1" t="s">
        <v>541</v>
      </c>
      <c r="D90" s="1" t="str">
        <f>PROPER(Table3[[#This Row],[Gender]])</f>
        <v>Other</v>
      </c>
      <c r="E90" s="5" t="s">
        <v>548</v>
      </c>
      <c r="F90" s="1" t="str">
        <f>PROPER(Table3[[#This Row],[Country_Region]])</f>
        <v>Uk</v>
      </c>
      <c r="G90" s="1">
        <v>2023</v>
      </c>
      <c r="H90" s="1">
        <v>3.6</v>
      </c>
      <c r="I90" s="1">
        <f>IF(H90="", AVERAGEIF('CLEANED DATASET'!$G$2:$G$532,G90,'CLEANED DATASET'!$H192),H90)</f>
        <v>3.6</v>
      </c>
      <c r="J90" s="1">
        <v>9.8000000000000007</v>
      </c>
      <c r="K90" s="1">
        <f t="shared" si="9"/>
        <v>9.8000000000000007</v>
      </c>
      <c r="L90" s="1">
        <v>5.7</v>
      </c>
      <c r="M90" s="1">
        <f t="shared" si="10"/>
        <v>5.7</v>
      </c>
      <c r="N90" s="1">
        <v>4.0999999999999996</v>
      </c>
      <c r="O90" s="1">
        <f t="shared" si="11"/>
        <v>4.0999999999999996</v>
      </c>
      <c r="P90" s="1">
        <v>4.8</v>
      </c>
      <c r="Q90" s="1">
        <f t="shared" si="15"/>
        <v>4.8</v>
      </c>
      <c r="R90" s="1" t="s">
        <v>571</v>
      </c>
      <c r="S90" s="1" t="str">
        <f>PROPER(Table3[[#This Row],[Cancer_Type]])</f>
        <v>Lung</v>
      </c>
      <c r="T90" s="1" t="s">
        <v>590</v>
      </c>
      <c r="U90" s="4">
        <v>72180.2</v>
      </c>
      <c r="V90" s="1">
        <v>5.5</v>
      </c>
      <c r="W90" s="1">
        <f t="shared" ca="1" si="13"/>
        <v>5</v>
      </c>
      <c r="X90" s="1">
        <v>4.9000000000000004</v>
      </c>
      <c r="Y90" s="1" t="str">
        <f t="shared" si="14"/>
        <v>Stage II</v>
      </c>
      <c r="Z90" s="10">
        <f t="shared" si="16"/>
        <v>72180.2</v>
      </c>
    </row>
    <row r="91" spans="1:26">
      <c r="A91" s="1" t="s">
        <v>538</v>
      </c>
      <c r="B91" s="1">
        <v>56</v>
      </c>
      <c r="C91" s="1" t="s">
        <v>542</v>
      </c>
      <c r="D91" s="1" t="str">
        <f>PROPER(Table3[[#This Row],[Gender]])</f>
        <v>Male</v>
      </c>
      <c r="E91" s="1" t="s">
        <v>548</v>
      </c>
      <c r="F91" s="1" t="str">
        <f>PROPER(Table3[[#This Row],[Country_Region]])</f>
        <v>Uk</v>
      </c>
      <c r="G91" s="1">
        <v>2023</v>
      </c>
      <c r="H91" s="1"/>
      <c r="I91" s="1">
        <f ca="1">IF(H91="", AVERAGEIF('CLEANED DATASET'!$G$2:$G$532,G91,'CLEANED DATASET'!$H530),H91)</f>
        <v>0.8</v>
      </c>
      <c r="J91" s="1">
        <v>1.6</v>
      </c>
      <c r="K91" s="1">
        <f t="shared" si="9"/>
        <v>1.6</v>
      </c>
      <c r="L91" s="1">
        <v>0.5</v>
      </c>
      <c r="M91" s="1">
        <f t="shared" si="10"/>
        <v>0.5</v>
      </c>
      <c r="N91" s="1">
        <v>7.2</v>
      </c>
      <c r="O91" s="1">
        <f t="shared" si="11"/>
        <v>7.2</v>
      </c>
      <c r="P91" s="1">
        <v>9.1999999999999993</v>
      </c>
      <c r="Q91" s="1">
        <f t="shared" si="15"/>
        <v>9.1999999999999993</v>
      </c>
      <c r="R91" s="1" t="s">
        <v>603</v>
      </c>
      <c r="S91" s="1" t="str">
        <f>PROPER(Table3[[#This Row],[Cancer_Type]])</f>
        <v>Unknown</v>
      </c>
      <c r="T91" s="1" t="s">
        <v>591</v>
      </c>
      <c r="U91" s="8">
        <v>8103.6</v>
      </c>
      <c r="V91" s="1">
        <v>4.0999999999999996</v>
      </c>
      <c r="W91" s="1">
        <f t="shared" ca="1" si="13"/>
        <v>4</v>
      </c>
      <c r="X91" s="1">
        <v>6.47</v>
      </c>
      <c r="Y91" s="1" t="str">
        <f t="shared" si="14"/>
        <v>Stage III</v>
      </c>
      <c r="Z91" s="10">
        <f t="shared" si="16"/>
        <v>8103.6</v>
      </c>
    </row>
    <row r="92" spans="1:26">
      <c r="A92" s="1" t="s">
        <v>215</v>
      </c>
      <c r="B92" s="1">
        <v>84</v>
      </c>
      <c r="C92" s="1" t="s">
        <v>543</v>
      </c>
      <c r="D92" s="1" t="str">
        <f>PROPER(Table3[[#This Row],[Gender]])</f>
        <v>Female</v>
      </c>
      <c r="E92" s="1" t="s">
        <v>626</v>
      </c>
      <c r="F92" s="1" t="str">
        <f>PROPER(Table3[[#This Row],[Country_Region]])</f>
        <v>Germany</v>
      </c>
      <c r="G92" s="1">
        <v>2024</v>
      </c>
      <c r="H92" s="1">
        <v>5.8</v>
      </c>
      <c r="I92" s="1">
        <f>IF(H92="", AVERAGEIF('CLEANED DATASET'!$G$2:$G$532,G92,'CLEANED DATASET'!$H207),H92)</f>
        <v>5.8</v>
      </c>
      <c r="J92" s="1">
        <v>1.7</v>
      </c>
      <c r="K92" s="1">
        <f t="shared" si="9"/>
        <v>1.7</v>
      </c>
      <c r="L92" s="1">
        <v>1</v>
      </c>
      <c r="M92" s="1">
        <f t="shared" si="10"/>
        <v>1</v>
      </c>
      <c r="N92" s="1">
        <v>6.8</v>
      </c>
      <c r="O92" s="1">
        <f t="shared" si="11"/>
        <v>6.8</v>
      </c>
      <c r="P92" s="1">
        <v>6.7</v>
      </c>
      <c r="Q92" s="1">
        <f t="shared" si="15"/>
        <v>6.7</v>
      </c>
      <c r="R92" s="1" t="s">
        <v>579</v>
      </c>
      <c r="S92" s="1" t="str">
        <f>PROPER(Table3[[#This Row],[Cancer_Type]])</f>
        <v>Prostate</v>
      </c>
      <c r="T92" s="1" t="s">
        <v>594</v>
      </c>
      <c r="U92" s="4">
        <v>60393.29</v>
      </c>
      <c r="V92" s="1">
        <v>0.5</v>
      </c>
      <c r="W92" s="1">
        <f t="shared" ca="1" si="13"/>
        <v>5</v>
      </c>
      <c r="X92" s="1">
        <v>4.3899999999999997</v>
      </c>
      <c r="Y92" s="1" t="str">
        <f t="shared" si="14"/>
        <v>Stage II</v>
      </c>
      <c r="Z92" s="10">
        <f t="shared" si="16"/>
        <v>60393.29</v>
      </c>
    </row>
    <row r="93" spans="1:26">
      <c r="A93" s="1" t="s">
        <v>401</v>
      </c>
      <c r="B93" s="1">
        <v>73</v>
      </c>
      <c r="C93" s="1" t="s">
        <v>541</v>
      </c>
      <c r="D93" s="1" t="str">
        <f>PROPER(Table3[[#This Row],[Gender]])</f>
        <v>Other</v>
      </c>
      <c r="E93" s="1" t="s">
        <v>640</v>
      </c>
      <c r="F93" s="1" t="str">
        <f>PROPER(Table3[[#This Row],[Country_Region]])</f>
        <v>Russia</v>
      </c>
      <c r="G93" s="1">
        <v>2023</v>
      </c>
      <c r="H93" s="1">
        <v>4.0999999999999996</v>
      </c>
      <c r="I93" s="1">
        <f>IF(H93="", AVERAGEIF('CLEANED DATASET'!$G$2:$G$532,G93,'CLEANED DATASET'!$H393),H93)</f>
        <v>4.0999999999999996</v>
      </c>
      <c r="J93" s="1">
        <v>6.9</v>
      </c>
      <c r="K93" s="1">
        <f t="shared" si="9"/>
        <v>6.9</v>
      </c>
      <c r="L93" s="1">
        <v>9.8000000000000007</v>
      </c>
      <c r="M93" s="1">
        <f t="shared" si="10"/>
        <v>9.8000000000000007</v>
      </c>
      <c r="N93" s="1">
        <v>0.3</v>
      </c>
      <c r="O93" s="1">
        <f t="shared" si="11"/>
        <v>0.3</v>
      </c>
      <c r="P93" s="1">
        <v>3.5</v>
      </c>
      <c r="Q93" s="1">
        <f t="shared" si="15"/>
        <v>3.5</v>
      </c>
      <c r="R93" s="1" t="s">
        <v>573</v>
      </c>
      <c r="S93" s="1" t="str">
        <f>PROPER(Table3[[#This Row],[Cancer_Type]])</f>
        <v>Breast</v>
      </c>
      <c r="T93" s="1" t="s">
        <v>591</v>
      </c>
      <c r="U93" s="4">
        <v>12472.69</v>
      </c>
      <c r="V93" s="1">
        <f>ROUND(10-((I93+K93+M93+O93+Q93)/5),1)</f>
        <v>5.0999999999999996</v>
      </c>
      <c r="W93" s="1">
        <f t="shared" ca="1" si="13"/>
        <v>5</v>
      </c>
      <c r="X93" s="1">
        <v>5.49</v>
      </c>
      <c r="Y93" s="1" t="str">
        <f t="shared" si="14"/>
        <v>Stage II</v>
      </c>
      <c r="Z93" s="10">
        <f t="shared" si="16"/>
        <v>12472.69</v>
      </c>
    </row>
    <row r="94" spans="1:26">
      <c r="A94" s="1" t="s">
        <v>492</v>
      </c>
      <c r="B94" s="1">
        <v>37</v>
      </c>
      <c r="C94" s="1" t="s">
        <v>541</v>
      </c>
      <c r="D94" s="1" t="str">
        <f>PROPER(Table3[[#This Row],[Gender]])</f>
        <v>Other</v>
      </c>
      <c r="E94" s="1" t="s">
        <v>551</v>
      </c>
      <c r="F94" s="1" t="str">
        <f>PROPER(Table3[[#This Row],[Country_Region]])</f>
        <v>Germany</v>
      </c>
      <c r="G94" s="1">
        <v>2022</v>
      </c>
      <c r="H94" s="1">
        <v>0.3</v>
      </c>
      <c r="I94" s="1">
        <f>IF(H94="", AVERAGEIF('CLEANED DATASET'!$G$2:$G$532,G94,'CLEANED DATASET'!$H484),H94)</f>
        <v>0.3</v>
      </c>
      <c r="J94" s="1">
        <v>7.3</v>
      </c>
      <c r="K94" s="1">
        <f t="shared" si="9"/>
        <v>7.3</v>
      </c>
      <c r="L94" s="1">
        <v>10</v>
      </c>
      <c r="M94" s="1">
        <f t="shared" si="10"/>
        <v>10</v>
      </c>
      <c r="N94" s="1">
        <v>6.5</v>
      </c>
      <c r="O94" s="1">
        <f t="shared" si="11"/>
        <v>6.5</v>
      </c>
      <c r="P94" s="1">
        <v>1.1000000000000001</v>
      </c>
      <c r="Q94" s="1">
        <f t="shared" si="15"/>
        <v>1.1000000000000001</v>
      </c>
      <c r="R94" s="1" t="s">
        <v>579</v>
      </c>
      <c r="S94" s="1" t="str">
        <f>PROPER(Table3[[#This Row],[Cancer_Type]])</f>
        <v>Prostate</v>
      </c>
      <c r="T94" s="1"/>
      <c r="U94" s="4">
        <v>28351.3</v>
      </c>
      <c r="V94" s="1">
        <v>8.1</v>
      </c>
      <c r="W94" s="1">
        <f t="shared" ca="1" si="13"/>
        <v>6</v>
      </c>
      <c r="X94" s="1">
        <v>5.5</v>
      </c>
      <c r="Y94" s="1" t="str">
        <f t="shared" si="14"/>
        <v>Stage II</v>
      </c>
      <c r="Z94" s="10">
        <f t="shared" si="16"/>
        <v>28351.3</v>
      </c>
    </row>
    <row r="95" spans="1:26">
      <c r="A95" s="1" t="s">
        <v>121</v>
      </c>
      <c r="B95" s="1">
        <v>22</v>
      </c>
      <c r="C95" s="1" t="s">
        <v>543</v>
      </c>
      <c r="D95" s="1" t="str">
        <f>PROPER(Table3[[#This Row],[Gender]])</f>
        <v>Female</v>
      </c>
      <c r="E95" s="1" t="s">
        <v>554</v>
      </c>
      <c r="F95" s="1" t="str">
        <f>PROPER(Table3[[#This Row],[Country_Region]])</f>
        <v>Brazil</v>
      </c>
      <c r="G95" s="1">
        <v>2023</v>
      </c>
      <c r="H95" s="1">
        <v>5.4</v>
      </c>
      <c r="I95" s="1">
        <f>IF(H95="", AVERAGEIF('CLEANED DATASET'!$G$2:$G$532,G95,'CLEANED DATASET'!$H113),H95)</f>
        <v>5.4</v>
      </c>
      <c r="J95" s="1">
        <v>6.7</v>
      </c>
      <c r="K95" s="1">
        <f t="shared" si="9"/>
        <v>6.7</v>
      </c>
      <c r="L95" s="1">
        <v>0.1</v>
      </c>
      <c r="M95" s="1">
        <f t="shared" si="10"/>
        <v>0.1</v>
      </c>
      <c r="N95" s="1">
        <v>5.6</v>
      </c>
      <c r="O95" s="1">
        <f t="shared" si="11"/>
        <v>5.6</v>
      </c>
      <c r="P95" s="1">
        <v>4.9000000000000004</v>
      </c>
      <c r="Q95" s="1">
        <f t="shared" si="15"/>
        <v>4.9000000000000004</v>
      </c>
      <c r="R95" s="1" t="s">
        <v>579</v>
      </c>
      <c r="S95" s="1" t="str">
        <f>PROPER(Table3[[#This Row],[Cancer_Type]])</f>
        <v>Prostate</v>
      </c>
      <c r="T95" s="1" t="s">
        <v>593</v>
      </c>
      <c r="U95" s="4">
        <v>14162.95</v>
      </c>
      <c r="V95" s="1">
        <v>6.8</v>
      </c>
      <c r="W95" s="1">
        <f t="shared" ca="1" si="13"/>
        <v>6</v>
      </c>
      <c r="X95" s="1">
        <v>5.43</v>
      </c>
      <c r="Y95" s="1" t="str">
        <f t="shared" si="14"/>
        <v>Stage II</v>
      </c>
      <c r="Z95" s="10">
        <f t="shared" si="16"/>
        <v>14162.95</v>
      </c>
    </row>
    <row r="96" spans="1:26">
      <c r="A96" s="1" t="s">
        <v>472</v>
      </c>
      <c r="B96" s="1">
        <v>47</v>
      </c>
      <c r="C96" s="1" t="s">
        <v>541</v>
      </c>
      <c r="D96" s="1" t="str">
        <f>PROPER(Table3[[#This Row],[Gender]])</f>
        <v>Other</v>
      </c>
      <c r="E96" s="1" t="s">
        <v>551</v>
      </c>
      <c r="F96" s="1" t="str">
        <f>PROPER(Table3[[#This Row],[Country_Region]])</f>
        <v>Germany</v>
      </c>
      <c r="G96" s="1">
        <v>2024</v>
      </c>
      <c r="H96" s="1">
        <v>0.2</v>
      </c>
      <c r="I96" s="1">
        <f>IF(H96="", AVERAGEIF('CLEANED DATASET'!$G$2:$G$532,G96,'CLEANED DATASET'!$H464),H96)</f>
        <v>0.2</v>
      </c>
      <c r="J96" s="1">
        <v>5.6</v>
      </c>
      <c r="K96" s="1">
        <f t="shared" si="9"/>
        <v>5.6</v>
      </c>
      <c r="L96" s="1">
        <v>6.5</v>
      </c>
      <c r="M96" s="1">
        <f t="shared" si="10"/>
        <v>6.5</v>
      </c>
      <c r="N96" s="1">
        <v>9.4</v>
      </c>
      <c r="O96" s="1">
        <f t="shared" si="11"/>
        <v>9.4</v>
      </c>
      <c r="P96" s="1">
        <v>6.1</v>
      </c>
      <c r="Q96" s="1">
        <f t="shared" si="15"/>
        <v>6.1</v>
      </c>
      <c r="R96" s="1" t="s">
        <v>580</v>
      </c>
      <c r="S96" s="1" t="str">
        <f>PROPER(Table3[[#This Row],[Cancer_Type]])</f>
        <v>Colon</v>
      </c>
      <c r="T96" s="1" t="s">
        <v>592</v>
      </c>
      <c r="U96" s="4">
        <v>34339.19</v>
      </c>
      <c r="V96" s="1">
        <f>ROUND(10-((I96+K96+M96+O96+Q96)/5),1)</f>
        <v>4.4000000000000004</v>
      </c>
      <c r="W96" s="1">
        <f t="shared" ca="1" si="13"/>
        <v>5</v>
      </c>
      <c r="X96" s="1">
        <v>5.66</v>
      </c>
      <c r="Y96" s="1" t="str">
        <f t="shared" si="14"/>
        <v>Stage II</v>
      </c>
      <c r="Z96" s="10">
        <f t="shared" si="16"/>
        <v>34339.19</v>
      </c>
    </row>
    <row r="97" spans="1:26">
      <c r="A97" s="1" t="s">
        <v>109</v>
      </c>
      <c r="B97" s="1">
        <v>70</v>
      </c>
      <c r="C97" s="1" t="s">
        <v>542</v>
      </c>
      <c r="D97" s="1" t="str">
        <f>PROPER(Table3[[#This Row],[Gender]])</f>
        <v>Male</v>
      </c>
      <c r="E97" s="1" t="s">
        <v>549</v>
      </c>
      <c r="F97" s="1" t="str">
        <f>PROPER(Table3[[#This Row],[Country_Region]])</f>
        <v>Australia</v>
      </c>
      <c r="G97" s="1">
        <v>2022</v>
      </c>
      <c r="H97" s="1">
        <v>8.6</v>
      </c>
      <c r="I97" s="1">
        <f>IF(H97="", AVERAGEIF('CLEANED DATASET'!$G$2:$G$532,G97,'CLEANED DATASET'!$H101),H97)</f>
        <v>8.6</v>
      </c>
      <c r="J97" s="1">
        <v>2.2999999999999998</v>
      </c>
      <c r="K97" s="1">
        <f t="shared" si="9"/>
        <v>2.2999999999999998</v>
      </c>
      <c r="L97" s="1">
        <v>8.6</v>
      </c>
      <c r="M97" s="1">
        <f t="shared" si="10"/>
        <v>8.6</v>
      </c>
      <c r="N97" s="1">
        <v>3</v>
      </c>
      <c r="O97" s="1">
        <f t="shared" si="11"/>
        <v>3</v>
      </c>
      <c r="P97" s="1">
        <v>5.4</v>
      </c>
      <c r="Q97" s="1">
        <f t="shared" si="15"/>
        <v>5.4</v>
      </c>
      <c r="R97" s="1" t="s">
        <v>578</v>
      </c>
      <c r="S97" s="1" t="str">
        <f>PROPER(Table3[[#This Row],[Cancer_Type]])</f>
        <v>Liver</v>
      </c>
      <c r="T97" s="1" t="s">
        <v>594</v>
      </c>
      <c r="U97" s="4">
        <v>84414.11</v>
      </c>
      <c r="V97" s="1">
        <v>4</v>
      </c>
      <c r="W97" s="1">
        <f t="shared" ca="1" si="13"/>
        <v>5</v>
      </c>
      <c r="X97" s="1">
        <v>4.8099999999999996</v>
      </c>
      <c r="Y97" s="1" t="str">
        <f t="shared" si="14"/>
        <v>Stage II</v>
      </c>
      <c r="Z97" s="10">
        <f t="shared" si="16"/>
        <v>84414.11</v>
      </c>
    </row>
    <row r="98" spans="1:26">
      <c r="A98" s="1" t="s">
        <v>512</v>
      </c>
      <c r="B98" s="1">
        <v>61</v>
      </c>
      <c r="C98" s="1" t="s">
        <v>542</v>
      </c>
      <c r="D98" s="1" t="str">
        <f>PROPER(Table3[[#This Row],[Gender]])</f>
        <v>Male</v>
      </c>
      <c r="E98" s="1" t="s">
        <v>553</v>
      </c>
      <c r="F98" s="1" t="str">
        <f>PROPER(Table3[[#This Row],[Country_Region]])</f>
        <v>Canada</v>
      </c>
      <c r="G98" s="1">
        <v>2023</v>
      </c>
      <c r="H98" s="1">
        <v>6.2</v>
      </c>
      <c r="I98" s="1">
        <f>IF(H98="", AVERAGEIF('CLEANED DATASET'!$G$2:$G$532,G98,'CLEANED DATASET'!$H504),H98)</f>
        <v>6.2</v>
      </c>
      <c r="J98" s="1">
        <v>0.6</v>
      </c>
      <c r="K98" s="1">
        <f t="shared" si="9"/>
        <v>0.6</v>
      </c>
      <c r="L98" s="1">
        <v>1.8</v>
      </c>
      <c r="M98" s="1">
        <f t="shared" si="10"/>
        <v>1.8</v>
      </c>
      <c r="N98" s="1">
        <v>2.5</v>
      </c>
      <c r="O98" s="1">
        <f t="shared" si="11"/>
        <v>2.5</v>
      </c>
      <c r="P98" s="1">
        <v>6.5</v>
      </c>
      <c r="Q98" s="1">
        <f t="shared" si="15"/>
        <v>6.5</v>
      </c>
      <c r="R98" s="1" t="s">
        <v>582</v>
      </c>
      <c r="S98" s="1" t="str">
        <f>PROPER(Table3[[#This Row],[Cancer_Type]])</f>
        <v>Lung</v>
      </c>
      <c r="T98" s="1" t="s">
        <v>590</v>
      </c>
      <c r="U98" s="4"/>
      <c r="V98" s="1">
        <v>2.5</v>
      </c>
      <c r="W98" s="1">
        <f t="shared" ca="1" si="13"/>
        <v>7</v>
      </c>
      <c r="X98" s="1">
        <v>2.82</v>
      </c>
      <c r="Y98" s="1" t="str">
        <f t="shared" si="14"/>
        <v>Stage I</v>
      </c>
      <c r="Z98" s="10">
        <f t="shared" si="16"/>
        <v>49461.75</v>
      </c>
    </row>
    <row r="99" spans="1:26">
      <c r="A99" s="1" t="s">
        <v>167</v>
      </c>
      <c r="B99" s="1">
        <v>37</v>
      </c>
      <c r="C99" s="1" t="s">
        <v>541</v>
      </c>
      <c r="D99" s="1" t="str">
        <f>PROPER(Table3[[#This Row],[Gender]])</f>
        <v>Other</v>
      </c>
      <c r="E99" s="1" t="s">
        <v>548</v>
      </c>
      <c r="F99" s="1" t="str">
        <f>PROPER(Table3[[#This Row],[Country_Region]])</f>
        <v>Uk</v>
      </c>
      <c r="G99" s="1">
        <v>2022</v>
      </c>
      <c r="H99" s="1">
        <v>1.7</v>
      </c>
      <c r="I99" s="1">
        <f>IF(H99="", AVERAGEIF('CLEANED DATASET'!$G$2:$G$532,G99,'CLEANED DATASET'!$H159),H99)</f>
        <v>1.7</v>
      </c>
      <c r="J99" s="1">
        <v>5.0999999999999996</v>
      </c>
      <c r="K99" s="1">
        <f t="shared" si="9"/>
        <v>5.0999999999999996</v>
      </c>
      <c r="L99" s="1">
        <v>5.2</v>
      </c>
      <c r="M99" s="1">
        <f t="shared" si="10"/>
        <v>5.2</v>
      </c>
      <c r="N99" s="1">
        <v>5.6</v>
      </c>
      <c r="O99" s="1">
        <f t="shared" si="11"/>
        <v>5.6</v>
      </c>
      <c r="P99" s="1">
        <v>1.6</v>
      </c>
      <c r="Q99" s="1">
        <f t="shared" si="15"/>
        <v>1.6</v>
      </c>
      <c r="R99" s="1" t="s">
        <v>570</v>
      </c>
      <c r="S99" s="1" t="str">
        <f>PROPER(Table3[[#This Row],[Cancer_Type]])</f>
        <v>Skin</v>
      </c>
      <c r="T99" s="1" t="s">
        <v>593</v>
      </c>
      <c r="U99" s="4">
        <v>72733.94</v>
      </c>
      <c r="V99" s="1">
        <v>5.6</v>
      </c>
      <c r="W99" s="1">
        <f t="shared" ca="1" si="13"/>
        <v>7</v>
      </c>
      <c r="X99" s="1">
        <v>3.71</v>
      </c>
      <c r="Y99" s="1" t="str">
        <f t="shared" si="14"/>
        <v>Stage I</v>
      </c>
      <c r="Z99" s="10">
        <f t="shared" si="16"/>
        <v>72733.94</v>
      </c>
    </row>
    <row r="100" spans="1:26">
      <c r="A100" s="1" t="s">
        <v>259</v>
      </c>
      <c r="B100" s="1">
        <v>28</v>
      </c>
      <c r="C100" s="1" t="s">
        <v>542</v>
      </c>
      <c r="D100" s="1" t="str">
        <f>PROPER(Table3[[#This Row],[Gender]])</f>
        <v>Male</v>
      </c>
      <c r="E100" s="1" t="s">
        <v>637</v>
      </c>
      <c r="F100" s="1" t="str">
        <f>PROPER(Table3[[#This Row],[Country_Region]])</f>
        <v>India</v>
      </c>
      <c r="G100" s="1">
        <v>2023</v>
      </c>
      <c r="H100" s="1">
        <v>3.3</v>
      </c>
      <c r="I100" s="1">
        <f>IF(H100="", AVERAGEIF('CLEANED DATASET'!$G$2:$G$532,G100,'CLEANED DATASET'!$H251),H100)</f>
        <v>3.3</v>
      </c>
      <c r="J100" s="1">
        <v>7.2</v>
      </c>
      <c r="K100" s="1">
        <f t="shared" si="9"/>
        <v>7.2</v>
      </c>
      <c r="L100" s="1">
        <v>5.2</v>
      </c>
      <c r="M100" s="1">
        <f t="shared" si="10"/>
        <v>5.2</v>
      </c>
      <c r="N100" s="1">
        <v>7.6</v>
      </c>
      <c r="O100" s="1">
        <f t="shared" si="11"/>
        <v>7.6</v>
      </c>
      <c r="P100" s="1">
        <v>2.1</v>
      </c>
      <c r="Q100" s="1">
        <f t="shared" si="15"/>
        <v>2.1</v>
      </c>
      <c r="R100" s="1" t="s">
        <v>579</v>
      </c>
      <c r="S100" s="1" t="str">
        <f>PROPER(Table3[[#This Row],[Cancer_Type]])</f>
        <v>Prostate</v>
      </c>
      <c r="T100" s="1" t="s">
        <v>592</v>
      </c>
      <c r="U100" s="4">
        <v>60860.69</v>
      </c>
      <c r="V100" s="1">
        <v>2.2000000000000002</v>
      </c>
      <c r="W100" s="1">
        <f t="shared" ca="1" si="13"/>
        <v>5</v>
      </c>
      <c r="X100" s="1">
        <v>5.03</v>
      </c>
      <c r="Y100" s="1" t="str">
        <f t="shared" si="14"/>
        <v>Stage II</v>
      </c>
      <c r="Z100" s="10">
        <f t="shared" si="16"/>
        <v>60860.69</v>
      </c>
    </row>
    <row r="101" spans="1:26">
      <c r="A101" s="1" t="s">
        <v>130</v>
      </c>
      <c r="B101" s="1">
        <v>62</v>
      </c>
      <c r="C101" s="1" t="s">
        <v>543</v>
      </c>
      <c r="D101" s="1" t="str">
        <f>PROPER(Table3[[#This Row],[Gender]])</f>
        <v>Female</v>
      </c>
      <c r="E101" s="1" t="s">
        <v>556</v>
      </c>
      <c r="F101" s="1" t="str">
        <f>PROPER(Table3[[#This Row],[Country_Region]])</f>
        <v>India</v>
      </c>
      <c r="G101" s="1">
        <v>2022</v>
      </c>
      <c r="H101" s="1">
        <v>6.8</v>
      </c>
      <c r="I101" s="1">
        <f>IF(H101="", AVERAGEIF('CLEANED DATASET'!$G$2:$G$532,G101,'CLEANED DATASET'!$H122),H101)</f>
        <v>6.8</v>
      </c>
      <c r="J101" s="1">
        <v>9.6</v>
      </c>
      <c r="K101" s="1">
        <f t="shared" si="9"/>
        <v>9.6</v>
      </c>
      <c r="L101" s="1">
        <v>8.6</v>
      </c>
      <c r="M101" s="1">
        <f t="shared" si="10"/>
        <v>8.6</v>
      </c>
      <c r="N101" s="1">
        <v>1.5</v>
      </c>
      <c r="O101" s="1">
        <f t="shared" si="11"/>
        <v>1.5</v>
      </c>
      <c r="P101" s="1">
        <v>5.2</v>
      </c>
      <c r="Q101" s="1">
        <f t="shared" si="15"/>
        <v>5.2</v>
      </c>
      <c r="R101" s="1" t="s">
        <v>570</v>
      </c>
      <c r="S101" s="1" t="str">
        <f>PROPER(Table3[[#This Row],[Cancer_Type]])</f>
        <v>Skin</v>
      </c>
      <c r="T101" s="1" t="s">
        <v>592</v>
      </c>
      <c r="U101" s="4">
        <v>17771.849999999999</v>
      </c>
      <c r="V101" s="1">
        <v>7.1</v>
      </c>
      <c r="W101" s="1">
        <f t="shared" ca="1" si="13"/>
        <v>3</v>
      </c>
      <c r="X101" s="1">
        <v>6.55</v>
      </c>
      <c r="Y101" s="1" t="str">
        <f t="shared" si="14"/>
        <v>Stage III</v>
      </c>
      <c r="Z101" s="10">
        <f t="shared" si="16"/>
        <v>17771.849999999999</v>
      </c>
    </row>
    <row r="102" spans="1:26">
      <c r="A102" s="1" t="s">
        <v>217</v>
      </c>
      <c r="B102" s="1">
        <v>54</v>
      </c>
      <c r="C102" s="1" t="s">
        <v>542</v>
      </c>
      <c r="D102" s="1" t="str">
        <f>PROPER(Table3[[#This Row],[Gender]])</f>
        <v>Male</v>
      </c>
      <c r="E102" s="1" t="s">
        <v>555</v>
      </c>
      <c r="F102" s="1" t="str">
        <f>PROPER(Table3[[#This Row],[Country_Region]])</f>
        <v>Russia</v>
      </c>
      <c r="G102" s="1">
        <v>2022</v>
      </c>
      <c r="H102" s="1">
        <v>1.8</v>
      </c>
      <c r="I102" s="1">
        <f>IF(H102="", AVERAGEIF('CLEANED DATASET'!$G$2:$G$532,G102,'CLEANED DATASET'!$H209),H102)</f>
        <v>1.8</v>
      </c>
      <c r="J102" s="1">
        <v>0.9</v>
      </c>
      <c r="K102" s="1">
        <f t="shared" si="9"/>
        <v>0.9</v>
      </c>
      <c r="L102" s="1">
        <v>9.9</v>
      </c>
      <c r="M102" s="1">
        <f t="shared" si="10"/>
        <v>9.9</v>
      </c>
      <c r="N102" s="1">
        <v>5.6</v>
      </c>
      <c r="O102" s="1">
        <f t="shared" si="11"/>
        <v>5.6</v>
      </c>
      <c r="P102" s="1">
        <v>2.2999999999999998</v>
      </c>
      <c r="Q102" s="1">
        <f t="shared" ref="Q102:Q133" si="17">IF(P102="",AVERAGEIF(G102:G632,G102,P102:P632),P102)</f>
        <v>2.2999999999999998</v>
      </c>
      <c r="R102" s="1" t="s">
        <v>578</v>
      </c>
      <c r="S102" s="1" t="str">
        <f>PROPER(Table3[[#This Row],[Cancer_Type]])</f>
        <v>Liver</v>
      </c>
      <c r="T102" s="1"/>
      <c r="U102" s="4">
        <v>67907.210000000006</v>
      </c>
      <c r="V102" s="1">
        <v>0.5</v>
      </c>
      <c r="W102" s="1">
        <f t="shared" ca="1" si="13"/>
        <v>8</v>
      </c>
      <c r="X102" s="1">
        <v>3.97</v>
      </c>
      <c r="Y102" s="1" t="str">
        <f t="shared" si="14"/>
        <v>Stage I</v>
      </c>
      <c r="Z102" s="10">
        <f t="shared" si="16"/>
        <v>67907.210000000006</v>
      </c>
    </row>
    <row r="103" spans="1:26">
      <c r="A103" s="1" t="s">
        <v>296</v>
      </c>
      <c r="B103" s="1">
        <v>55</v>
      </c>
      <c r="C103" s="1" t="s">
        <v>543</v>
      </c>
      <c r="D103" s="1" t="str">
        <f>PROPER(Table3[[#This Row],[Gender]])</f>
        <v>Female</v>
      </c>
      <c r="E103" s="1" t="s">
        <v>555</v>
      </c>
      <c r="F103" s="1" t="str">
        <f>PROPER(Table3[[#This Row],[Country_Region]])</f>
        <v>Russia</v>
      </c>
      <c r="G103" s="1">
        <v>2024</v>
      </c>
      <c r="H103" s="1"/>
      <c r="I103" s="3">
        <f ca="1">IF(H103="", AVERAGEIF('CLEANED DATASET'!$G$2:$G$532,G103,'CLEANED DATASET'!$H288),H103)</f>
        <v>4.670129870129867</v>
      </c>
      <c r="J103" s="1">
        <v>3.4</v>
      </c>
      <c r="K103" s="1">
        <f t="shared" si="9"/>
        <v>3.4</v>
      </c>
      <c r="L103" s="1">
        <v>8</v>
      </c>
      <c r="M103" s="1">
        <f t="shared" si="10"/>
        <v>8</v>
      </c>
      <c r="N103" s="1">
        <v>1.3</v>
      </c>
      <c r="O103" s="1">
        <f t="shared" si="11"/>
        <v>1.3</v>
      </c>
      <c r="P103" s="1">
        <v>2.7</v>
      </c>
      <c r="Q103" s="1">
        <f t="shared" si="17"/>
        <v>2.7</v>
      </c>
      <c r="R103" s="1" t="s">
        <v>574</v>
      </c>
      <c r="S103" s="1" t="str">
        <f>PROPER(Table3[[#This Row],[Cancer_Type]])</f>
        <v>Colon</v>
      </c>
      <c r="T103" s="1" t="s">
        <v>592</v>
      </c>
      <c r="U103" s="4">
        <v>59117.17</v>
      </c>
      <c r="V103" s="1">
        <v>7</v>
      </c>
      <c r="W103" s="1">
        <f t="shared" ca="1" si="13"/>
        <v>5</v>
      </c>
      <c r="X103" s="1">
        <v>4.18</v>
      </c>
      <c r="Y103" s="1" t="str">
        <f t="shared" si="14"/>
        <v>Stage II</v>
      </c>
      <c r="Z103" s="10">
        <f t="shared" si="16"/>
        <v>59117.17</v>
      </c>
    </row>
    <row r="104" spans="1:26">
      <c r="A104" s="1" t="s">
        <v>208</v>
      </c>
      <c r="B104" s="1">
        <v>37</v>
      </c>
      <c r="C104" s="1" t="s">
        <v>545</v>
      </c>
      <c r="D104" s="1" t="str">
        <f>PROPER(Table3[[#This Row],[Gender]])</f>
        <v>Male</v>
      </c>
      <c r="E104" s="1" t="s">
        <v>556</v>
      </c>
      <c r="F104" s="1" t="str">
        <f>PROPER(Table3[[#This Row],[Country_Region]])</f>
        <v>India</v>
      </c>
      <c r="G104" s="1">
        <v>2024</v>
      </c>
      <c r="H104" s="1">
        <v>4.0999999999999996</v>
      </c>
      <c r="I104" s="1">
        <f>IF(H104="", AVERAGEIF('CLEANED DATASET'!$G$2:$G$532,G104,'CLEANED DATASET'!$H200),H104)</f>
        <v>4.0999999999999996</v>
      </c>
      <c r="J104" s="1">
        <v>7.7</v>
      </c>
      <c r="K104" s="1">
        <f t="shared" si="9"/>
        <v>7.7</v>
      </c>
      <c r="L104" s="1">
        <v>6.7</v>
      </c>
      <c r="M104" s="1">
        <f t="shared" si="10"/>
        <v>6.7</v>
      </c>
      <c r="N104" s="1">
        <v>7.4</v>
      </c>
      <c r="O104" s="1">
        <f t="shared" si="11"/>
        <v>7.4</v>
      </c>
      <c r="P104" s="1">
        <v>4.8</v>
      </c>
      <c r="Q104" s="1">
        <f t="shared" si="17"/>
        <v>4.8</v>
      </c>
      <c r="R104" s="1" t="s">
        <v>578</v>
      </c>
      <c r="S104" s="1" t="str">
        <f>PROPER(Table3[[#This Row],[Cancer_Type]])</f>
        <v>Liver</v>
      </c>
      <c r="T104" s="1" t="s">
        <v>590</v>
      </c>
      <c r="U104" s="4">
        <v>44849.33</v>
      </c>
      <c r="V104" s="1">
        <v>1.5</v>
      </c>
      <c r="W104" s="1">
        <f t="shared" ca="1" si="13"/>
        <v>3</v>
      </c>
      <c r="X104" s="1">
        <v>6.04</v>
      </c>
      <c r="Y104" s="1" t="str">
        <f t="shared" si="14"/>
        <v>Stage III</v>
      </c>
      <c r="Z104" s="10">
        <f t="shared" si="16"/>
        <v>44849.33</v>
      </c>
    </row>
    <row r="105" spans="1:26">
      <c r="A105" s="1" t="s">
        <v>497</v>
      </c>
      <c r="B105" s="1">
        <v>67</v>
      </c>
      <c r="C105" s="1" t="s">
        <v>542</v>
      </c>
      <c r="D105" s="1" t="str">
        <f>PROPER(Table3[[#This Row],[Gender]])</f>
        <v>Male</v>
      </c>
      <c r="E105" s="1" t="s">
        <v>553</v>
      </c>
      <c r="F105" s="1" t="str">
        <f>PROPER(Table3[[#This Row],[Country_Region]])</f>
        <v>Canada</v>
      </c>
      <c r="G105" s="1">
        <v>2022</v>
      </c>
      <c r="H105" s="1">
        <v>8.1999999999999993</v>
      </c>
      <c r="I105" s="1">
        <f>IF(H105="", AVERAGEIF('CLEANED DATASET'!$G$2:$G$532,G105,'CLEANED DATASET'!$H489),H105)</f>
        <v>8.1999999999999993</v>
      </c>
      <c r="J105" s="1">
        <v>4.3</v>
      </c>
      <c r="K105" s="1">
        <f t="shared" si="9"/>
        <v>4.3</v>
      </c>
      <c r="L105" s="1">
        <v>6.7</v>
      </c>
      <c r="M105" s="1">
        <f t="shared" si="10"/>
        <v>6.7</v>
      </c>
      <c r="N105" s="1">
        <v>4.8</v>
      </c>
      <c r="O105" s="1">
        <f t="shared" si="11"/>
        <v>4.8</v>
      </c>
      <c r="P105" s="1">
        <v>2.2000000000000002</v>
      </c>
      <c r="Q105" s="1">
        <f t="shared" si="17"/>
        <v>2.2000000000000002</v>
      </c>
      <c r="R105" s="1" t="s">
        <v>572</v>
      </c>
      <c r="S105" s="1" t="str">
        <f>PROPER(Table3[[#This Row],[Cancer_Type]])</f>
        <v>Leukemia</v>
      </c>
      <c r="T105" s="1" t="s">
        <v>592</v>
      </c>
      <c r="U105" s="4">
        <v>59260.18</v>
      </c>
      <c r="V105" s="1">
        <v>1</v>
      </c>
      <c r="W105" s="1">
        <f t="shared" ca="1" si="13"/>
        <v>6</v>
      </c>
      <c r="X105" s="1">
        <v>5.28</v>
      </c>
      <c r="Y105" s="1" t="str">
        <f t="shared" si="14"/>
        <v>Stage II</v>
      </c>
      <c r="Z105" s="10">
        <f t="shared" si="16"/>
        <v>59260.18</v>
      </c>
    </row>
    <row r="106" spans="1:26">
      <c r="A106" s="1" t="s">
        <v>139</v>
      </c>
      <c r="B106" s="1">
        <v>73</v>
      </c>
      <c r="C106" s="1" t="s">
        <v>543</v>
      </c>
      <c r="D106" s="1" t="str">
        <f>PROPER(Table3[[#This Row],[Gender]])</f>
        <v>Female</v>
      </c>
      <c r="E106" s="1" t="s">
        <v>549</v>
      </c>
      <c r="F106" s="1" t="str">
        <f>PROPER(Table3[[#This Row],[Country_Region]])</f>
        <v>Australia</v>
      </c>
      <c r="G106" s="1">
        <v>2022</v>
      </c>
      <c r="H106" s="1">
        <v>8.6</v>
      </c>
      <c r="I106" s="1">
        <f>IF(H106="", AVERAGEIF('CLEANED DATASET'!$G$2:$G$532,G106,'CLEANED DATASET'!$H131),H106)</f>
        <v>8.6</v>
      </c>
      <c r="J106" s="1">
        <v>10</v>
      </c>
      <c r="K106" s="1">
        <f t="shared" si="9"/>
        <v>10</v>
      </c>
      <c r="L106" s="1"/>
      <c r="M106" s="3">
        <f t="shared" si="10"/>
        <v>4.6784172661870516</v>
      </c>
      <c r="N106" s="1">
        <v>1.2</v>
      </c>
      <c r="O106" s="1">
        <f t="shared" si="11"/>
        <v>1.2</v>
      </c>
      <c r="P106" s="1">
        <v>9.1999999999999993</v>
      </c>
      <c r="Q106" s="1">
        <f t="shared" si="17"/>
        <v>9.1999999999999993</v>
      </c>
      <c r="R106" s="1" t="s">
        <v>578</v>
      </c>
      <c r="S106" s="1" t="str">
        <f>PROPER(Table3[[#This Row],[Cancer_Type]])</f>
        <v>Liver</v>
      </c>
      <c r="T106" s="1" t="s">
        <v>594</v>
      </c>
      <c r="U106" s="4">
        <v>13970.02</v>
      </c>
      <c r="V106" s="1">
        <v>9.1</v>
      </c>
      <c r="W106" s="1">
        <f t="shared" ca="1" si="13"/>
        <v>3</v>
      </c>
      <c r="X106" s="1">
        <v>7.09</v>
      </c>
      <c r="Y106" s="1" t="str">
        <f t="shared" si="14"/>
        <v>Stage III</v>
      </c>
      <c r="Z106" s="10">
        <f t="shared" si="16"/>
        <v>13970.02</v>
      </c>
    </row>
    <row r="107" spans="1:26">
      <c r="A107" s="1" t="s">
        <v>274</v>
      </c>
      <c r="B107" s="1">
        <v>49</v>
      </c>
      <c r="C107" s="1" t="s">
        <v>542</v>
      </c>
      <c r="D107" s="1" t="str">
        <f>PROPER(Table3[[#This Row],[Gender]])</f>
        <v>Male</v>
      </c>
      <c r="E107" s="1" t="s">
        <v>549</v>
      </c>
      <c r="F107" s="1" t="str">
        <f>PROPER(Table3[[#This Row],[Country_Region]])</f>
        <v>Australia</v>
      </c>
      <c r="G107" s="1">
        <v>2023</v>
      </c>
      <c r="H107" s="1">
        <v>6.1</v>
      </c>
      <c r="I107" s="1">
        <f>IF(H107="", AVERAGEIF('CLEANED DATASET'!$G$2:$G$532,G107,'CLEANED DATASET'!$H266),H107)</f>
        <v>6.1</v>
      </c>
      <c r="J107" s="1">
        <v>1.1000000000000001</v>
      </c>
      <c r="K107" s="1">
        <f t="shared" si="9"/>
        <v>1.1000000000000001</v>
      </c>
      <c r="L107" s="1">
        <v>8.6</v>
      </c>
      <c r="M107" s="1">
        <f t="shared" si="10"/>
        <v>8.6</v>
      </c>
      <c r="N107" s="1">
        <v>5.9</v>
      </c>
      <c r="O107" s="1">
        <f t="shared" si="11"/>
        <v>5.9</v>
      </c>
      <c r="P107" s="1">
        <v>0.3</v>
      </c>
      <c r="Q107" s="1">
        <f t="shared" si="17"/>
        <v>0.3</v>
      </c>
      <c r="R107" s="1" t="s">
        <v>573</v>
      </c>
      <c r="S107" s="1" t="str">
        <f>PROPER(Table3[[#This Row],[Cancer_Type]])</f>
        <v>Breast</v>
      </c>
      <c r="T107" s="1" t="s">
        <v>590</v>
      </c>
      <c r="U107" s="4">
        <v>72161.3</v>
      </c>
      <c r="V107" s="1">
        <v>4.8</v>
      </c>
      <c r="W107" s="1">
        <f t="shared" ca="1" si="13"/>
        <v>6</v>
      </c>
      <c r="X107" s="1">
        <v>4.4400000000000004</v>
      </c>
      <c r="Y107" s="1" t="str">
        <f t="shared" si="14"/>
        <v>Stage II</v>
      </c>
      <c r="Z107" s="10">
        <f t="shared" si="16"/>
        <v>72161.3</v>
      </c>
    </row>
    <row r="108" spans="1:26">
      <c r="A108" s="1" t="s">
        <v>153</v>
      </c>
      <c r="B108" s="1">
        <v>84</v>
      </c>
      <c r="C108" s="1" t="s">
        <v>541</v>
      </c>
      <c r="D108" s="1" t="str">
        <f>PROPER(Table3[[#This Row],[Gender]])</f>
        <v>Other</v>
      </c>
      <c r="E108" s="5" t="s">
        <v>553</v>
      </c>
      <c r="F108" s="1" t="str">
        <f>PROPER(Table3[[#This Row],[Country_Region]])</f>
        <v>Canada</v>
      </c>
      <c r="G108" s="1">
        <v>2022</v>
      </c>
      <c r="H108" s="1">
        <v>8</v>
      </c>
      <c r="I108" s="1">
        <f>IF(H108="", AVERAGEIF('CLEANED DATASET'!$G$2:$G$532,G108,'CLEANED DATASET'!$H145),H108)</f>
        <v>8</v>
      </c>
      <c r="J108" s="1">
        <v>2.9</v>
      </c>
      <c r="K108" s="1">
        <f t="shared" si="9"/>
        <v>2.9</v>
      </c>
      <c r="L108" s="1">
        <v>5</v>
      </c>
      <c r="M108" s="1">
        <f t="shared" si="10"/>
        <v>5</v>
      </c>
      <c r="N108" s="1">
        <v>5.2</v>
      </c>
      <c r="O108" s="1">
        <f t="shared" si="11"/>
        <v>5.2</v>
      </c>
      <c r="P108" s="1">
        <v>0.3</v>
      </c>
      <c r="Q108" s="1">
        <f t="shared" si="17"/>
        <v>0.3</v>
      </c>
      <c r="R108" s="1" t="s">
        <v>578</v>
      </c>
      <c r="S108" s="1" t="str">
        <f>PROPER(Table3[[#This Row],[Cancer_Type]])</f>
        <v>Liver</v>
      </c>
      <c r="T108" s="1" t="s">
        <v>591</v>
      </c>
      <c r="U108" s="4">
        <v>94884.47</v>
      </c>
      <c r="V108" s="1">
        <v>8.9</v>
      </c>
      <c r="W108" s="1">
        <f t="shared" ca="1" si="13"/>
        <v>8</v>
      </c>
      <c r="X108" s="1">
        <v>3.96</v>
      </c>
      <c r="Y108" s="1" t="str">
        <f t="shared" si="14"/>
        <v>Stage I</v>
      </c>
      <c r="Z108" s="10">
        <f t="shared" si="16"/>
        <v>94884.47</v>
      </c>
    </row>
    <row r="109" spans="1:26">
      <c r="A109" s="1" t="s">
        <v>241</v>
      </c>
      <c r="B109" s="1">
        <v>83</v>
      </c>
      <c r="C109" s="1" t="s">
        <v>543</v>
      </c>
      <c r="D109" s="1" t="str">
        <f>PROPER(Table3[[#This Row],[Gender]])</f>
        <v>Female</v>
      </c>
      <c r="E109" s="1" t="s">
        <v>548</v>
      </c>
      <c r="F109" s="1" t="str">
        <f>PROPER(Table3[[#This Row],[Country_Region]])</f>
        <v>Uk</v>
      </c>
      <c r="G109" s="1">
        <v>2022</v>
      </c>
      <c r="H109" s="1">
        <v>1</v>
      </c>
      <c r="I109" s="1">
        <f>IF(H109="", AVERAGEIF('CLEANED DATASET'!$G$2:$G$532,G109,'CLEANED DATASET'!$H233),H109)</f>
        <v>1</v>
      </c>
      <c r="J109" s="1">
        <v>6.5</v>
      </c>
      <c r="K109" s="1">
        <f t="shared" si="9"/>
        <v>6.5</v>
      </c>
      <c r="L109" s="1">
        <v>2.4</v>
      </c>
      <c r="M109" s="1">
        <f t="shared" si="10"/>
        <v>2.4</v>
      </c>
      <c r="N109" s="1">
        <v>3.5</v>
      </c>
      <c r="O109" s="1">
        <f t="shared" si="11"/>
        <v>3.5</v>
      </c>
      <c r="P109" s="1">
        <v>9.9</v>
      </c>
      <c r="Q109" s="1">
        <f t="shared" si="17"/>
        <v>9.9</v>
      </c>
      <c r="R109" s="1" t="s">
        <v>572</v>
      </c>
      <c r="S109" s="1" t="str">
        <f>PROPER(Table3[[#This Row],[Cancer_Type]])</f>
        <v>Leukemia</v>
      </c>
      <c r="T109" s="1" t="s">
        <v>591</v>
      </c>
      <c r="U109" s="4">
        <v>18371.580000000002</v>
      </c>
      <c r="V109" s="1">
        <v>5.5</v>
      </c>
      <c r="W109" s="1">
        <f t="shared" ca="1" si="13"/>
        <v>6</v>
      </c>
      <c r="X109" s="1">
        <v>4.8600000000000003</v>
      </c>
      <c r="Y109" s="1" t="str">
        <f t="shared" si="14"/>
        <v>Stage II</v>
      </c>
      <c r="Z109" s="10">
        <f t="shared" si="16"/>
        <v>18371.580000000002</v>
      </c>
    </row>
    <row r="110" spans="1:26">
      <c r="A110" s="1" t="s">
        <v>205</v>
      </c>
      <c r="B110" s="1">
        <v>21</v>
      </c>
      <c r="C110" s="1" t="s">
        <v>543</v>
      </c>
      <c r="D110" s="1" t="str">
        <f>PROPER(Table3[[#This Row],[Gender]])</f>
        <v>Female</v>
      </c>
      <c r="E110" s="1" t="s">
        <v>555</v>
      </c>
      <c r="F110" s="1" t="str">
        <f>PROPER(Table3[[#This Row],[Country_Region]])</f>
        <v>Russia</v>
      </c>
      <c r="G110" s="1">
        <v>2022</v>
      </c>
      <c r="H110" s="1">
        <v>6</v>
      </c>
      <c r="I110" s="1">
        <f>IF(H110="", AVERAGEIF('CLEANED DATASET'!$G$2:$G$532,G110,'CLEANED DATASET'!$H197),H110)</f>
        <v>6</v>
      </c>
      <c r="J110" s="1">
        <v>3.6</v>
      </c>
      <c r="K110" s="1">
        <f t="shared" si="9"/>
        <v>3.6</v>
      </c>
      <c r="L110" s="1">
        <v>4.2</v>
      </c>
      <c r="M110" s="1">
        <f t="shared" si="10"/>
        <v>4.2</v>
      </c>
      <c r="N110" s="1">
        <v>4.3</v>
      </c>
      <c r="O110" s="1">
        <f t="shared" si="11"/>
        <v>4.3</v>
      </c>
      <c r="P110" s="1">
        <v>1.5</v>
      </c>
      <c r="Q110" s="1">
        <f t="shared" si="17"/>
        <v>1.5</v>
      </c>
      <c r="R110" s="1" t="s">
        <v>571</v>
      </c>
      <c r="S110" s="1" t="str">
        <f>PROPER(Table3[[#This Row],[Cancer_Type]])</f>
        <v>Lung</v>
      </c>
      <c r="T110" s="1" t="s">
        <v>591</v>
      </c>
      <c r="U110" s="4">
        <v>27770.22</v>
      </c>
      <c r="V110" s="1">
        <v>4.8</v>
      </c>
      <c r="W110" s="1">
        <f t="shared" ca="1" si="13"/>
        <v>5</v>
      </c>
      <c r="X110" s="1">
        <v>4.82</v>
      </c>
      <c r="Y110" s="1" t="str">
        <f t="shared" si="14"/>
        <v>Stage II</v>
      </c>
      <c r="Z110" s="10">
        <f t="shared" si="16"/>
        <v>27770.22</v>
      </c>
    </row>
    <row r="111" spans="1:26">
      <c r="A111" s="1" t="s">
        <v>158</v>
      </c>
      <c r="B111" s="1">
        <v>53</v>
      </c>
      <c r="C111" s="1" t="s">
        <v>612</v>
      </c>
      <c r="D111" s="1" t="str">
        <f>PROPER(Table3[[#This Row],[Gender]])</f>
        <v>Female</v>
      </c>
      <c r="E111" s="1" t="s">
        <v>556</v>
      </c>
      <c r="F111" s="1" t="str">
        <f>PROPER(Table3[[#This Row],[Country_Region]])</f>
        <v>India</v>
      </c>
      <c r="G111" s="1">
        <v>2024</v>
      </c>
      <c r="H111" s="1">
        <v>0.5</v>
      </c>
      <c r="I111" s="1">
        <f>IF(H111="", AVERAGEIF('CLEANED DATASET'!$G$2:$G$532,G111,'CLEANED DATASET'!$H150),H111)</f>
        <v>0.5</v>
      </c>
      <c r="J111" s="1">
        <v>0.8</v>
      </c>
      <c r="K111" s="1">
        <f t="shared" si="9"/>
        <v>0.8</v>
      </c>
      <c r="L111" s="1">
        <v>5.2</v>
      </c>
      <c r="M111" s="1">
        <f t="shared" si="10"/>
        <v>5.2</v>
      </c>
      <c r="N111" s="1">
        <v>8.1</v>
      </c>
      <c r="O111" s="1">
        <f t="shared" si="11"/>
        <v>8.1</v>
      </c>
      <c r="P111" s="1">
        <v>2.6</v>
      </c>
      <c r="Q111" s="1">
        <f t="shared" si="17"/>
        <v>2.6</v>
      </c>
      <c r="R111" s="1" t="s">
        <v>570</v>
      </c>
      <c r="S111" s="1" t="str">
        <f>PROPER(Table3[[#This Row],[Cancer_Type]])</f>
        <v>Skin</v>
      </c>
      <c r="T111" s="1" t="s">
        <v>594</v>
      </c>
      <c r="U111" s="4">
        <v>87542.18</v>
      </c>
      <c r="V111" s="1">
        <v>4.0999999999999996</v>
      </c>
      <c r="W111" s="1">
        <f t="shared" ca="1" si="13"/>
        <v>7</v>
      </c>
      <c r="X111" s="1">
        <v>3.13</v>
      </c>
      <c r="Y111" s="1" t="str">
        <f t="shared" si="14"/>
        <v>Stage I</v>
      </c>
      <c r="Z111" s="10">
        <f t="shared" si="16"/>
        <v>87542.18</v>
      </c>
    </row>
    <row r="112" spans="1:26">
      <c r="A112" s="1" t="s">
        <v>279</v>
      </c>
      <c r="B112" s="1">
        <v>47</v>
      </c>
      <c r="C112" s="1" t="s">
        <v>541</v>
      </c>
      <c r="D112" s="1" t="str">
        <f>PROPER(Table3[[#This Row],[Gender]])</f>
        <v>Other</v>
      </c>
      <c r="E112" s="1" t="s">
        <v>554</v>
      </c>
      <c r="F112" s="1" t="str">
        <f>PROPER(Table3[[#This Row],[Country_Region]])</f>
        <v>Brazil</v>
      </c>
      <c r="G112" s="1">
        <v>2023</v>
      </c>
      <c r="H112" s="1">
        <v>9.1</v>
      </c>
      <c r="I112" s="1">
        <f>IF(H112="", AVERAGEIF('CLEANED DATASET'!$G$2:$G$532,G112,'CLEANED DATASET'!$H271),H112)</f>
        <v>9.1</v>
      </c>
      <c r="J112" s="1">
        <v>8.1999999999999993</v>
      </c>
      <c r="K112" s="1">
        <f t="shared" si="9"/>
        <v>8.1999999999999993</v>
      </c>
      <c r="L112" s="1">
        <v>1.9</v>
      </c>
      <c r="M112" s="1">
        <f t="shared" si="10"/>
        <v>1.9</v>
      </c>
      <c r="N112" s="1">
        <v>7.9</v>
      </c>
      <c r="O112" s="1">
        <f t="shared" si="11"/>
        <v>7.9</v>
      </c>
      <c r="P112" s="1">
        <v>2.2000000000000002</v>
      </c>
      <c r="Q112" s="1">
        <f t="shared" si="17"/>
        <v>2.2000000000000002</v>
      </c>
      <c r="R112" s="1" t="s">
        <v>599</v>
      </c>
      <c r="S112" s="1" t="str">
        <f>PROPER(Table3[[#This Row],[Cancer_Type]])</f>
        <v>Skin</v>
      </c>
      <c r="T112" s="1" t="s">
        <v>593</v>
      </c>
      <c r="U112" s="4">
        <v>89107.26</v>
      </c>
      <c r="V112" s="1">
        <v>8.6</v>
      </c>
      <c r="W112" s="1">
        <f t="shared" ca="1" si="13"/>
        <v>5</v>
      </c>
      <c r="X112" s="1">
        <v>5.35</v>
      </c>
      <c r="Y112" s="1" t="str">
        <f t="shared" si="14"/>
        <v>Stage II</v>
      </c>
      <c r="Z112" s="10">
        <f t="shared" si="16"/>
        <v>89107.26</v>
      </c>
    </row>
    <row r="113" spans="1:26">
      <c r="A113" s="1" t="s">
        <v>469</v>
      </c>
      <c r="B113" s="1">
        <v>73</v>
      </c>
      <c r="C113" s="1" t="s">
        <v>542</v>
      </c>
      <c r="D113" s="1" t="str">
        <f>PROPER(Table3[[#This Row],[Gender]])</f>
        <v>Male</v>
      </c>
      <c r="E113" s="1" t="s">
        <v>552</v>
      </c>
      <c r="F113" s="1" t="str">
        <f>PROPER(Table3[[#This Row],[Country_Region]])</f>
        <v>China</v>
      </c>
      <c r="G113" s="1">
        <v>2022</v>
      </c>
      <c r="H113" s="1">
        <v>8.5</v>
      </c>
      <c r="I113" s="1">
        <f>IF(H113="", AVERAGEIF('CLEANED DATASET'!$G$2:$G$532,G113,'CLEANED DATASET'!$H461),H113)</f>
        <v>8.5</v>
      </c>
      <c r="J113" s="1">
        <v>9.6</v>
      </c>
      <c r="K113" s="1">
        <f t="shared" si="9"/>
        <v>9.6</v>
      </c>
      <c r="L113" s="1">
        <v>5.9</v>
      </c>
      <c r="M113" s="1">
        <f t="shared" si="10"/>
        <v>5.9</v>
      </c>
      <c r="N113" s="1">
        <v>8.9</v>
      </c>
      <c r="O113" s="1">
        <f t="shared" si="11"/>
        <v>8.9</v>
      </c>
      <c r="P113" s="1">
        <v>7.1</v>
      </c>
      <c r="Q113" s="1">
        <f t="shared" si="17"/>
        <v>7.1</v>
      </c>
      <c r="R113" s="1" t="s">
        <v>573</v>
      </c>
      <c r="S113" s="1" t="str">
        <f>PROPER(Table3[[#This Row],[Cancer_Type]])</f>
        <v>Breast</v>
      </c>
      <c r="T113" s="1" t="s">
        <v>594</v>
      </c>
      <c r="U113" s="4">
        <v>26576.46</v>
      </c>
      <c r="V113" s="1">
        <v>0.7</v>
      </c>
      <c r="W113" s="1">
        <f t="shared" ca="1" si="13"/>
        <v>4</v>
      </c>
      <c r="X113" s="1">
        <v>7.98</v>
      </c>
      <c r="Y113" s="1" t="str">
        <f t="shared" si="14"/>
        <v>Stage III</v>
      </c>
      <c r="Z113" s="10">
        <f t="shared" si="16"/>
        <v>26576.46</v>
      </c>
    </row>
    <row r="114" spans="1:26">
      <c r="A114" s="1" t="s">
        <v>225</v>
      </c>
      <c r="B114" s="1">
        <v>27</v>
      </c>
      <c r="C114" s="1" t="s">
        <v>543</v>
      </c>
      <c r="D114" s="1" t="str">
        <f>PROPER(Table3[[#This Row],[Gender]])</f>
        <v>Female</v>
      </c>
      <c r="E114" s="1" t="s">
        <v>567</v>
      </c>
      <c r="F114" s="1" t="str">
        <f>PROPER(Table3[[#This Row],[Country_Region]])</f>
        <v>Canada</v>
      </c>
      <c r="G114" s="1">
        <v>2024</v>
      </c>
      <c r="H114" s="1">
        <v>6.6</v>
      </c>
      <c r="I114" s="1">
        <f>IF(H114="", AVERAGEIF('CLEANED DATASET'!$G$2:$G$532,G114,'CLEANED DATASET'!$H217),H114)</f>
        <v>6.6</v>
      </c>
      <c r="J114" s="1">
        <v>6.5</v>
      </c>
      <c r="K114" s="1">
        <f t="shared" si="9"/>
        <v>6.5</v>
      </c>
      <c r="L114" s="1"/>
      <c r="M114" s="3">
        <f t="shared" si="10"/>
        <v>4.6527559055118113</v>
      </c>
      <c r="N114" s="1">
        <v>8.6999999999999993</v>
      </c>
      <c r="O114" s="1">
        <f t="shared" si="11"/>
        <v>8.6999999999999993</v>
      </c>
      <c r="P114" s="1">
        <v>0.1</v>
      </c>
      <c r="Q114" s="1">
        <f t="shared" si="17"/>
        <v>0.1</v>
      </c>
      <c r="R114" s="1" t="s">
        <v>573</v>
      </c>
      <c r="S114" s="1" t="str">
        <f>PROPER(Table3[[#This Row],[Cancer_Type]])</f>
        <v>Breast</v>
      </c>
      <c r="T114" s="1" t="s">
        <v>590</v>
      </c>
      <c r="U114" s="4">
        <v>70822.7</v>
      </c>
      <c r="V114" s="1">
        <v>9.1999999999999993</v>
      </c>
      <c r="W114" s="1">
        <f t="shared" ca="1" si="13"/>
        <v>6</v>
      </c>
      <c r="X114" s="1">
        <v>5.92</v>
      </c>
      <c r="Y114" s="1" t="str">
        <f t="shared" si="14"/>
        <v>Stage II</v>
      </c>
      <c r="Z114" s="10">
        <f t="shared" si="16"/>
        <v>70822.7</v>
      </c>
    </row>
    <row r="115" spans="1:26">
      <c r="A115" s="1" t="s">
        <v>308</v>
      </c>
      <c r="B115" s="1">
        <v>35</v>
      </c>
      <c r="C115" s="1" t="s">
        <v>542</v>
      </c>
      <c r="D115" s="1" t="str">
        <f>PROPER(Table3[[#This Row],[Gender]])</f>
        <v>Male</v>
      </c>
      <c r="E115" s="1" t="s">
        <v>623</v>
      </c>
      <c r="F115" s="1" t="str">
        <f>PROPER(Table3[[#This Row],[Country_Region]])</f>
        <v>Canada</v>
      </c>
      <c r="G115" s="1">
        <v>2023</v>
      </c>
      <c r="H115" s="1">
        <v>3.3</v>
      </c>
      <c r="I115" s="1">
        <f>IF(H115="", AVERAGEIF('CLEANED DATASET'!$G$2:$G$532,G115,'CLEANED DATASET'!$H300),H115)</f>
        <v>3.3</v>
      </c>
      <c r="J115" s="1">
        <v>3</v>
      </c>
      <c r="K115" s="1">
        <f t="shared" si="9"/>
        <v>3</v>
      </c>
      <c r="L115" s="1">
        <v>3.5</v>
      </c>
      <c r="M115" s="1">
        <f t="shared" si="10"/>
        <v>3.5</v>
      </c>
      <c r="N115" s="1">
        <v>2.2999999999999998</v>
      </c>
      <c r="O115" s="1">
        <f t="shared" si="11"/>
        <v>2.2999999999999998</v>
      </c>
      <c r="P115" s="1"/>
      <c r="Q115" s="3">
        <f t="shared" si="17"/>
        <v>4.8731343283582076</v>
      </c>
      <c r="R115" s="1" t="s">
        <v>576</v>
      </c>
      <c r="S115" s="1" t="str">
        <f>PROPER(Table3[[#This Row],[Cancer_Type]])</f>
        <v>Cervical</v>
      </c>
      <c r="T115" s="1" t="s">
        <v>592</v>
      </c>
      <c r="U115" s="4">
        <v>80439.3</v>
      </c>
      <c r="V115" s="1">
        <v>2.7</v>
      </c>
      <c r="W115" s="1">
        <f t="shared" ca="1" si="13"/>
        <v>8</v>
      </c>
      <c r="X115" s="1">
        <v>2.98</v>
      </c>
      <c r="Y115" s="1" t="str">
        <f t="shared" si="14"/>
        <v>Stage I</v>
      </c>
      <c r="Z115" s="10">
        <f t="shared" si="16"/>
        <v>80439.3</v>
      </c>
    </row>
    <row r="116" spans="1:26">
      <c r="A116" s="1" t="s">
        <v>271</v>
      </c>
      <c r="B116" s="1">
        <v>62</v>
      </c>
      <c r="C116" s="1" t="s">
        <v>546</v>
      </c>
      <c r="D116" s="1" t="str">
        <f>PROPER(Table3[[#This Row],[Gender]])</f>
        <v>Unknown</v>
      </c>
      <c r="E116" s="1" t="s">
        <v>552</v>
      </c>
      <c r="F116" s="1" t="str">
        <f>PROPER(Table3[[#This Row],[Country_Region]])</f>
        <v>China</v>
      </c>
      <c r="G116" s="1">
        <v>2024</v>
      </c>
      <c r="H116" s="1">
        <v>0.6</v>
      </c>
      <c r="I116" s="1">
        <f>IF(H116="", AVERAGEIF('CLEANED DATASET'!$G$2:$G$532,G116,'CLEANED DATASET'!$H263),H116)</f>
        <v>0.6</v>
      </c>
      <c r="J116" s="1">
        <v>3.5</v>
      </c>
      <c r="K116" s="1">
        <f t="shared" si="9"/>
        <v>3.5</v>
      </c>
      <c r="L116" s="1"/>
      <c r="M116" s="3">
        <f t="shared" si="10"/>
        <v>4.6527559055118113</v>
      </c>
      <c r="N116" s="1">
        <v>0.5</v>
      </c>
      <c r="O116" s="1">
        <f t="shared" si="11"/>
        <v>0.5</v>
      </c>
      <c r="P116" s="1"/>
      <c r="Q116" s="3">
        <f t="shared" si="17"/>
        <v>4.1220472440944897</v>
      </c>
      <c r="R116" s="1" t="s">
        <v>571</v>
      </c>
      <c r="S116" s="1" t="str">
        <f>PROPER(Table3[[#This Row],[Cancer_Type]])</f>
        <v>Lung</v>
      </c>
      <c r="T116" s="1" t="s">
        <v>590</v>
      </c>
      <c r="U116" s="4">
        <v>92262.31</v>
      </c>
      <c r="V116" s="1">
        <v>4.0999999999999996</v>
      </c>
      <c r="W116" s="1">
        <f t="shared" ca="1" si="13"/>
        <v>7</v>
      </c>
      <c r="X116" s="1">
        <v>2.33</v>
      </c>
      <c r="Y116" s="1" t="str">
        <f t="shared" si="14"/>
        <v>Stage I</v>
      </c>
      <c r="Z116" s="10">
        <f t="shared" si="16"/>
        <v>92262.31</v>
      </c>
    </row>
    <row r="117" spans="1:26">
      <c r="A117" s="1" t="s">
        <v>169</v>
      </c>
      <c r="B117" s="1">
        <v>84</v>
      </c>
      <c r="C117" s="1" t="s">
        <v>543</v>
      </c>
      <c r="D117" s="1" t="str">
        <f>PROPER(Table3[[#This Row],[Gender]])</f>
        <v>Female</v>
      </c>
      <c r="E117" s="5" t="s">
        <v>551</v>
      </c>
      <c r="F117" s="1" t="str">
        <f>PROPER(Table3[[#This Row],[Country_Region]])</f>
        <v>Germany</v>
      </c>
      <c r="G117" s="1">
        <v>2022</v>
      </c>
      <c r="H117" s="1"/>
      <c r="I117" s="3">
        <f ca="1">IF(H117="", AVERAGEIF('CLEANED DATASET'!$G$2:$G$532,G117,'CLEANED DATASET'!$H161),H117)</f>
        <v>5.9049180327868838</v>
      </c>
      <c r="J117" s="1">
        <v>7.4</v>
      </c>
      <c r="K117" s="1">
        <f t="shared" si="9"/>
        <v>7.4</v>
      </c>
      <c r="L117" s="1">
        <v>3</v>
      </c>
      <c r="M117" s="1">
        <f t="shared" si="10"/>
        <v>3</v>
      </c>
      <c r="N117" s="1">
        <v>7.4</v>
      </c>
      <c r="O117" s="1">
        <f t="shared" si="11"/>
        <v>7.4</v>
      </c>
      <c r="P117" s="1">
        <v>8.5</v>
      </c>
      <c r="Q117" s="1">
        <f t="shared" si="17"/>
        <v>8.5</v>
      </c>
      <c r="R117" s="1" t="s">
        <v>578</v>
      </c>
      <c r="S117" s="1" t="str">
        <f>PROPER(Table3[[#This Row],[Cancer_Type]])</f>
        <v>Liver</v>
      </c>
      <c r="T117" s="1" t="s">
        <v>590</v>
      </c>
      <c r="U117" s="4">
        <v>86653.1</v>
      </c>
      <c r="V117" s="1">
        <v>1.5</v>
      </c>
      <c r="W117" s="1">
        <f t="shared" ca="1" si="13"/>
        <v>5</v>
      </c>
      <c r="X117" s="1">
        <v>4.46</v>
      </c>
      <c r="Y117" s="1" t="str">
        <f t="shared" si="14"/>
        <v>Stage II</v>
      </c>
      <c r="Z117" s="10">
        <f t="shared" si="16"/>
        <v>86653.1</v>
      </c>
    </row>
    <row r="118" spans="1:26">
      <c r="A118" s="1" t="s">
        <v>30</v>
      </c>
      <c r="B118" s="1">
        <v>55</v>
      </c>
      <c r="C118" s="1" t="s">
        <v>543</v>
      </c>
      <c r="D118" s="1" t="str">
        <f>PROPER(Table3[[#This Row],[Gender]])</f>
        <v>Female</v>
      </c>
      <c r="E118" s="1" t="s">
        <v>557</v>
      </c>
      <c r="F118" s="1" t="str">
        <f>PROPER(Table3[[#This Row],[Country_Region]])</f>
        <v>Brazil</v>
      </c>
      <c r="G118" s="1">
        <v>2024</v>
      </c>
      <c r="H118" s="1"/>
      <c r="I118" s="3">
        <f ca="1">IF(H118="", AVERAGEIF('CLEANED DATASET'!$G$2:$G$532,G118,'CLEANED DATASET'!$H22),H118)</f>
        <v>4.4599999999999991</v>
      </c>
      <c r="J118" s="1">
        <v>1.7</v>
      </c>
      <c r="K118" s="1">
        <f t="shared" si="9"/>
        <v>1.7</v>
      </c>
      <c r="L118" s="1">
        <v>1.7</v>
      </c>
      <c r="M118" s="1">
        <f t="shared" si="10"/>
        <v>1.7</v>
      </c>
      <c r="N118" s="1"/>
      <c r="O118" s="3">
        <f t="shared" si="11"/>
        <v>5.1563492063492031</v>
      </c>
      <c r="P118" s="1">
        <v>8.3000000000000007</v>
      </c>
      <c r="Q118" s="1">
        <f t="shared" si="17"/>
        <v>8.3000000000000007</v>
      </c>
      <c r="R118" s="1" t="s">
        <v>577</v>
      </c>
      <c r="S118" s="1" t="str">
        <f>PROPER(Table3[[#This Row],[Cancer_Type]])</f>
        <v>Cervical</v>
      </c>
      <c r="T118" s="1" t="s">
        <v>594</v>
      </c>
      <c r="U118" s="4">
        <v>45620.84</v>
      </c>
      <c r="V118" s="1">
        <v>4.4000000000000004</v>
      </c>
      <c r="W118" s="1">
        <f t="shared" ca="1" si="13"/>
        <v>5</v>
      </c>
      <c r="X118" s="1">
        <v>4.3899999999999997</v>
      </c>
      <c r="Y118" s="1" t="str">
        <f t="shared" si="14"/>
        <v>Stage II</v>
      </c>
      <c r="Z118" s="10">
        <f t="shared" si="16"/>
        <v>45620.84</v>
      </c>
    </row>
    <row r="119" spans="1:26">
      <c r="A119" s="1" t="s">
        <v>76</v>
      </c>
      <c r="B119" s="1">
        <v>67</v>
      </c>
      <c r="C119" s="1" t="s">
        <v>543</v>
      </c>
      <c r="D119" s="1" t="str">
        <f>PROPER(Table3[[#This Row],[Gender]])</f>
        <v>Female</v>
      </c>
      <c r="E119" s="1" t="s">
        <v>548</v>
      </c>
      <c r="F119" s="1" t="str">
        <f>PROPER(Table3[[#This Row],[Country_Region]])</f>
        <v>Uk</v>
      </c>
      <c r="G119" s="1">
        <v>2022</v>
      </c>
      <c r="H119" s="1">
        <v>1.8</v>
      </c>
      <c r="I119" s="1">
        <f>IF(H119="", AVERAGEIF('CLEANED DATASET'!$G$2:$G$532,G119,'CLEANED DATASET'!$H68),H119)</f>
        <v>1.8</v>
      </c>
      <c r="J119" s="1">
        <v>10</v>
      </c>
      <c r="K119" s="1">
        <f t="shared" si="9"/>
        <v>10</v>
      </c>
      <c r="L119" s="1">
        <v>7.8</v>
      </c>
      <c r="M119" s="1">
        <f t="shared" si="10"/>
        <v>7.8</v>
      </c>
      <c r="N119" s="1">
        <v>2.5</v>
      </c>
      <c r="O119" s="1">
        <f t="shared" si="11"/>
        <v>2.5</v>
      </c>
      <c r="P119" s="1">
        <v>7</v>
      </c>
      <c r="Q119" s="1">
        <f t="shared" si="17"/>
        <v>7</v>
      </c>
      <c r="R119" s="1" t="s">
        <v>573</v>
      </c>
      <c r="S119" s="1" t="str">
        <f>PROPER(Table3[[#This Row],[Cancer_Type]])</f>
        <v>Breast</v>
      </c>
      <c r="T119" s="1" t="s">
        <v>591</v>
      </c>
      <c r="U119" s="4">
        <v>24917.87</v>
      </c>
      <c r="V119" s="1">
        <v>2.6</v>
      </c>
      <c r="W119" s="1">
        <f t="shared" ca="1" si="13"/>
        <v>5</v>
      </c>
      <c r="X119" s="1">
        <v>5.73</v>
      </c>
      <c r="Y119" s="1" t="str">
        <f t="shared" si="14"/>
        <v>Stage II</v>
      </c>
      <c r="Z119" s="10">
        <f t="shared" si="16"/>
        <v>24917.87</v>
      </c>
    </row>
    <row r="120" spans="1:26">
      <c r="A120" s="1" t="s">
        <v>165</v>
      </c>
      <c r="B120" s="1">
        <v>75</v>
      </c>
      <c r="C120" s="1" t="s">
        <v>541</v>
      </c>
      <c r="D120" s="1" t="str">
        <f>PROPER(Table3[[#This Row],[Gender]])</f>
        <v>Other</v>
      </c>
      <c r="E120" s="1" t="s">
        <v>549</v>
      </c>
      <c r="F120" s="1" t="str">
        <f>PROPER(Table3[[#This Row],[Country_Region]])</f>
        <v>Australia</v>
      </c>
      <c r="G120" s="1">
        <v>2023</v>
      </c>
      <c r="H120" s="1">
        <v>5.8</v>
      </c>
      <c r="I120" s="1">
        <f>IF(H120="", AVERAGEIF('CLEANED DATASET'!$G$2:$G$532,G120,'CLEANED DATASET'!$H157),H120)</f>
        <v>5.8</v>
      </c>
      <c r="J120" s="1">
        <v>7.8</v>
      </c>
      <c r="K120" s="1">
        <f t="shared" si="9"/>
        <v>7.8</v>
      </c>
      <c r="L120" s="1">
        <v>2.7</v>
      </c>
      <c r="M120" s="1">
        <f t="shared" si="10"/>
        <v>2.7</v>
      </c>
      <c r="N120" s="1">
        <v>7.9</v>
      </c>
      <c r="O120" s="1">
        <f t="shared" si="11"/>
        <v>7.9</v>
      </c>
      <c r="P120" s="1">
        <v>8.1999999999999993</v>
      </c>
      <c r="Q120" s="1">
        <f t="shared" si="17"/>
        <v>8.1999999999999993</v>
      </c>
      <c r="R120" s="1" t="s">
        <v>574</v>
      </c>
      <c r="S120" s="1" t="str">
        <f>PROPER(Table3[[#This Row],[Cancer_Type]])</f>
        <v>Colon</v>
      </c>
      <c r="T120" s="1" t="s">
        <v>593</v>
      </c>
      <c r="U120" s="4">
        <v>51582.19</v>
      </c>
      <c r="V120" s="1">
        <v>7.6</v>
      </c>
      <c r="W120" s="1">
        <f t="shared" ca="1" si="13"/>
        <v>4</v>
      </c>
      <c r="X120" s="1">
        <v>6.1</v>
      </c>
      <c r="Y120" s="1" t="str">
        <f t="shared" si="14"/>
        <v>Stage III</v>
      </c>
      <c r="Z120" s="10">
        <f t="shared" si="16"/>
        <v>51582.19</v>
      </c>
    </row>
    <row r="121" spans="1:26">
      <c r="A121" s="1" t="s">
        <v>112</v>
      </c>
      <c r="B121" s="1">
        <v>76</v>
      </c>
      <c r="C121" s="1" t="s">
        <v>542</v>
      </c>
      <c r="D121" s="1" t="str">
        <f>PROPER(Table3[[#This Row],[Gender]])</f>
        <v>Male</v>
      </c>
      <c r="E121" s="1" t="s">
        <v>552</v>
      </c>
      <c r="F121" s="1" t="str">
        <f>PROPER(Table3[[#This Row],[Country_Region]])</f>
        <v>China</v>
      </c>
      <c r="G121" s="1">
        <v>2023</v>
      </c>
      <c r="H121" s="1">
        <v>0.3</v>
      </c>
      <c r="I121" s="1">
        <f>IF(H121="", AVERAGEIF('CLEANED DATASET'!$G$2:$G$532,G121,'CLEANED DATASET'!$H104),H121)</f>
        <v>0.3</v>
      </c>
      <c r="J121" s="1">
        <v>4.7</v>
      </c>
      <c r="K121" s="1">
        <f t="shared" si="9"/>
        <v>4.7</v>
      </c>
      <c r="L121" s="1">
        <v>1.6</v>
      </c>
      <c r="M121" s="1">
        <f t="shared" si="10"/>
        <v>1.6</v>
      </c>
      <c r="N121" s="1">
        <v>3.6</v>
      </c>
      <c r="O121" s="1">
        <f t="shared" si="11"/>
        <v>3.6</v>
      </c>
      <c r="P121" s="1">
        <v>5.6</v>
      </c>
      <c r="Q121" s="1">
        <f t="shared" si="17"/>
        <v>5.6</v>
      </c>
      <c r="R121" s="1" t="s">
        <v>571</v>
      </c>
      <c r="S121" s="1" t="str">
        <f>PROPER(Table3[[#This Row],[Cancer_Type]])</f>
        <v>Lung</v>
      </c>
      <c r="T121" s="1" t="s">
        <v>593</v>
      </c>
      <c r="U121" s="4">
        <v>17879.849999999999</v>
      </c>
      <c r="V121" s="1">
        <v>4</v>
      </c>
      <c r="W121" s="1">
        <f t="shared" ca="1" si="13"/>
        <v>7</v>
      </c>
      <c r="X121" s="1">
        <v>3.93</v>
      </c>
      <c r="Y121" s="1" t="str">
        <f t="shared" si="14"/>
        <v>Stage I</v>
      </c>
      <c r="Z121" s="10">
        <f t="shared" si="16"/>
        <v>17879.849999999999</v>
      </c>
    </row>
    <row r="122" spans="1:26">
      <c r="A122" s="1" t="s">
        <v>452</v>
      </c>
      <c r="B122" s="1">
        <v>29</v>
      </c>
      <c r="C122" s="1" t="s">
        <v>541</v>
      </c>
      <c r="D122" s="1" t="str">
        <f>PROPER(Table3[[#This Row],[Gender]])</f>
        <v>Other</v>
      </c>
      <c r="E122" s="1" t="s">
        <v>560</v>
      </c>
      <c r="F122" s="1" t="str">
        <f>PROPER(Table3[[#This Row],[Country_Region]])</f>
        <v>Usa</v>
      </c>
      <c r="G122" s="1">
        <v>2023</v>
      </c>
      <c r="H122" s="1">
        <v>0.6</v>
      </c>
      <c r="I122" s="1">
        <f>IF(H122="", AVERAGEIF('CLEANED DATASET'!$G$2:$G$532,G122,'CLEANED DATASET'!$H444),H122)</f>
        <v>0.6</v>
      </c>
      <c r="J122" s="1">
        <v>7.4</v>
      </c>
      <c r="K122" s="1">
        <f t="shared" si="9"/>
        <v>7.4</v>
      </c>
      <c r="L122" s="1">
        <v>4.0999999999999996</v>
      </c>
      <c r="M122" s="1">
        <f t="shared" si="10"/>
        <v>4.0999999999999996</v>
      </c>
      <c r="N122" s="1">
        <v>6.3</v>
      </c>
      <c r="O122" s="1">
        <f t="shared" si="11"/>
        <v>6.3</v>
      </c>
      <c r="P122" s="1"/>
      <c r="Q122" s="3">
        <f t="shared" si="17"/>
        <v>4.8424242424242419</v>
      </c>
      <c r="R122" s="1" t="s">
        <v>573</v>
      </c>
      <c r="S122" s="1" t="str">
        <f>PROPER(Table3[[#This Row],[Cancer_Type]])</f>
        <v>Breast</v>
      </c>
      <c r="T122" s="1" t="s">
        <v>590</v>
      </c>
      <c r="U122" s="4">
        <v>66650.28</v>
      </c>
      <c r="V122" s="1">
        <v>1.4</v>
      </c>
      <c r="W122" s="1">
        <f t="shared" ca="1" si="13"/>
        <v>5</v>
      </c>
      <c r="X122" s="1">
        <v>4.55</v>
      </c>
      <c r="Y122" s="1" t="str">
        <f t="shared" si="14"/>
        <v>Stage II</v>
      </c>
      <c r="Z122" s="10">
        <f t="shared" si="16"/>
        <v>66650.28</v>
      </c>
    </row>
    <row r="123" spans="1:26">
      <c r="A123" s="1" t="s">
        <v>453</v>
      </c>
      <c r="B123" s="1">
        <v>42</v>
      </c>
      <c r="C123" s="1" t="s">
        <v>542</v>
      </c>
      <c r="D123" s="1" t="str">
        <f>PROPER(Table3[[#This Row],[Gender]])</f>
        <v>Male</v>
      </c>
      <c r="E123" s="1" t="s">
        <v>549</v>
      </c>
      <c r="F123" s="1" t="str">
        <f>PROPER(Table3[[#This Row],[Country_Region]])</f>
        <v>Australia</v>
      </c>
      <c r="G123" s="1">
        <v>2024</v>
      </c>
      <c r="H123" s="1">
        <v>2.1</v>
      </c>
      <c r="I123" s="1">
        <f>IF(H123="", AVERAGEIF('CLEANED DATASET'!$G$2:$G$532,G123,'CLEANED DATASET'!$H445),H123)</f>
        <v>2.1</v>
      </c>
      <c r="J123" s="1">
        <v>7.5</v>
      </c>
      <c r="K123" s="1">
        <f t="shared" si="9"/>
        <v>7.5</v>
      </c>
      <c r="L123" s="1">
        <v>5.5</v>
      </c>
      <c r="M123" s="1">
        <f t="shared" si="10"/>
        <v>5.5</v>
      </c>
      <c r="N123" s="1">
        <v>5.3</v>
      </c>
      <c r="O123" s="1">
        <f t="shared" si="11"/>
        <v>5.3</v>
      </c>
      <c r="P123" s="1">
        <v>7.3</v>
      </c>
      <c r="Q123" s="1">
        <f t="shared" si="17"/>
        <v>7.3</v>
      </c>
      <c r="R123" s="1" t="s">
        <v>576</v>
      </c>
      <c r="S123" s="1" t="str">
        <f>PROPER(Table3[[#This Row],[Cancer_Type]])</f>
        <v>Cervical</v>
      </c>
      <c r="T123" s="1"/>
      <c r="U123" s="4">
        <v>24342.06</v>
      </c>
      <c r="V123" s="1">
        <v>7.8</v>
      </c>
      <c r="W123" s="1">
        <f t="shared" ca="1" si="13"/>
        <v>5</v>
      </c>
      <c r="X123" s="1">
        <v>5.67</v>
      </c>
      <c r="Y123" s="1" t="str">
        <f t="shared" si="14"/>
        <v>Stage II</v>
      </c>
      <c r="Z123" s="10">
        <f t="shared" si="16"/>
        <v>24342.06</v>
      </c>
    </row>
    <row r="124" spans="1:26">
      <c r="A124" s="1" t="s">
        <v>80</v>
      </c>
      <c r="B124" s="1">
        <v>84</v>
      </c>
      <c r="C124" s="1" t="s">
        <v>542</v>
      </c>
      <c r="D124" s="1" t="str">
        <f>PROPER(Table3[[#This Row],[Gender]])</f>
        <v>Male</v>
      </c>
      <c r="E124" s="1" t="s">
        <v>552</v>
      </c>
      <c r="F124" s="1" t="str">
        <f>PROPER(Table3[[#This Row],[Country_Region]])</f>
        <v>China</v>
      </c>
      <c r="G124" s="1">
        <v>2022</v>
      </c>
      <c r="H124" s="1">
        <v>8.4</v>
      </c>
      <c r="I124" s="1">
        <f>IF(H124="", AVERAGEIF('CLEANED DATASET'!$G$2:$G$532,G124,'CLEANED DATASET'!$H72),H124)</f>
        <v>8.4</v>
      </c>
      <c r="J124" s="1">
        <v>8.8000000000000007</v>
      </c>
      <c r="K124" s="1">
        <f t="shared" si="9"/>
        <v>8.8000000000000007</v>
      </c>
      <c r="L124" s="1">
        <v>1.4</v>
      </c>
      <c r="M124" s="1">
        <f t="shared" si="10"/>
        <v>1.4</v>
      </c>
      <c r="N124" s="1">
        <v>5.3</v>
      </c>
      <c r="O124" s="1">
        <f t="shared" si="11"/>
        <v>5.3</v>
      </c>
      <c r="P124" s="1">
        <v>8.6999999999999993</v>
      </c>
      <c r="Q124" s="1">
        <f t="shared" si="17"/>
        <v>8.6999999999999993</v>
      </c>
      <c r="R124" s="1" t="s">
        <v>578</v>
      </c>
      <c r="S124" s="1" t="str">
        <f>PROPER(Table3[[#This Row],[Cancer_Type]])</f>
        <v>Liver</v>
      </c>
      <c r="T124" s="1" t="s">
        <v>592</v>
      </c>
      <c r="U124" s="4"/>
      <c r="V124" s="1">
        <v>2.6</v>
      </c>
      <c r="W124" s="1">
        <f t="shared" ca="1" si="13"/>
        <v>3</v>
      </c>
      <c r="X124" s="1">
        <v>7.02</v>
      </c>
      <c r="Y124" s="1" t="str">
        <f t="shared" si="14"/>
        <v>Stage III</v>
      </c>
      <c r="Z124" s="10">
        <f t="shared" si="16"/>
        <v>50133.47</v>
      </c>
    </row>
    <row r="125" spans="1:26">
      <c r="A125" s="1" t="s">
        <v>338</v>
      </c>
      <c r="B125" s="1">
        <v>29</v>
      </c>
      <c r="C125" s="1" t="s">
        <v>542</v>
      </c>
      <c r="D125" s="1" t="str">
        <f>PROPER(Table3[[#This Row],[Gender]])</f>
        <v>Male</v>
      </c>
      <c r="E125" s="1" t="s">
        <v>552</v>
      </c>
      <c r="F125" s="1" t="str">
        <f>PROPER(Table3[[#This Row],[Country_Region]])</f>
        <v>China</v>
      </c>
      <c r="G125" s="1">
        <v>2023</v>
      </c>
      <c r="H125" s="1">
        <v>4.0999999999999996</v>
      </c>
      <c r="I125" s="1">
        <f>IF(H125="", AVERAGEIF('CLEANED DATASET'!$G$2:$G$532,G125,'CLEANED DATASET'!$H330),H125)</f>
        <v>4.0999999999999996</v>
      </c>
      <c r="J125" s="1">
        <v>7.6</v>
      </c>
      <c r="K125" s="1">
        <f t="shared" si="9"/>
        <v>7.6</v>
      </c>
      <c r="L125" s="1">
        <v>3.1</v>
      </c>
      <c r="M125" s="1">
        <f t="shared" si="10"/>
        <v>3.1</v>
      </c>
      <c r="N125" s="1">
        <v>4.4000000000000004</v>
      </c>
      <c r="O125" s="1">
        <f t="shared" si="11"/>
        <v>4.4000000000000004</v>
      </c>
      <c r="P125" s="1">
        <v>3.4</v>
      </c>
      <c r="Q125" s="1">
        <f t="shared" si="17"/>
        <v>3.4</v>
      </c>
      <c r="R125" s="1" t="s">
        <v>578</v>
      </c>
      <c r="S125" s="1" t="str">
        <f>PROPER(Table3[[#This Row],[Cancer_Type]])</f>
        <v>Liver</v>
      </c>
      <c r="T125" s="1" t="s">
        <v>592</v>
      </c>
      <c r="U125" s="4">
        <v>75519.05</v>
      </c>
      <c r="V125" s="1">
        <v>50</v>
      </c>
      <c r="W125" s="1">
        <f t="shared" ca="1" si="13"/>
        <v>5</v>
      </c>
      <c r="X125" s="1">
        <v>4.13</v>
      </c>
      <c r="Y125" s="1" t="str">
        <f t="shared" si="14"/>
        <v>Stage II</v>
      </c>
      <c r="Z125" s="10">
        <f t="shared" si="16"/>
        <v>75519.05</v>
      </c>
    </row>
    <row r="126" spans="1:26">
      <c r="A126" s="1" t="s">
        <v>341</v>
      </c>
      <c r="B126" s="1">
        <v>73</v>
      </c>
      <c r="C126" s="1" t="s">
        <v>541</v>
      </c>
      <c r="D126" s="1" t="str">
        <f>PROPER(Table3[[#This Row],[Gender]])</f>
        <v>Other</v>
      </c>
      <c r="E126" s="1" t="s">
        <v>566</v>
      </c>
      <c r="F126" s="1" t="str">
        <f>PROPER(Table3[[#This Row],[Country_Region]])</f>
        <v>Pakistan</v>
      </c>
      <c r="G126" s="1">
        <v>2023</v>
      </c>
      <c r="H126" s="1">
        <v>9.3000000000000007</v>
      </c>
      <c r="I126" s="1">
        <f>IF(H126="", AVERAGEIF('CLEANED DATASET'!$G$2:$G$532,G126,'CLEANED DATASET'!$H333),H126)</f>
        <v>9.3000000000000007</v>
      </c>
      <c r="J126" s="1">
        <v>5.4</v>
      </c>
      <c r="K126" s="1">
        <f t="shared" si="9"/>
        <v>5.4</v>
      </c>
      <c r="L126" s="1">
        <v>0.1</v>
      </c>
      <c r="M126" s="1">
        <f t="shared" si="10"/>
        <v>0.1</v>
      </c>
      <c r="N126" s="1">
        <v>7.8</v>
      </c>
      <c r="O126" s="1">
        <f t="shared" si="11"/>
        <v>7.8</v>
      </c>
      <c r="P126" s="1">
        <v>8.8000000000000007</v>
      </c>
      <c r="Q126" s="1">
        <f t="shared" si="17"/>
        <v>8.8000000000000007</v>
      </c>
      <c r="R126" s="1" t="s">
        <v>579</v>
      </c>
      <c r="S126" s="1" t="str">
        <f>PROPER(Table3[[#This Row],[Cancer_Type]])</f>
        <v>Prostate</v>
      </c>
      <c r="T126" s="1" t="s">
        <v>594</v>
      </c>
      <c r="U126" s="4">
        <v>80400.3</v>
      </c>
      <c r="V126" s="1">
        <v>8</v>
      </c>
      <c r="W126" s="1">
        <f t="shared" ca="1" si="13"/>
        <v>5</v>
      </c>
      <c r="X126" s="1">
        <v>5.52</v>
      </c>
      <c r="Y126" s="1" t="str">
        <f t="shared" si="14"/>
        <v>Stage II</v>
      </c>
      <c r="Z126" s="10">
        <f t="shared" si="16"/>
        <v>80400.3</v>
      </c>
    </row>
    <row r="127" spans="1:26">
      <c r="A127" s="1" t="s">
        <v>246</v>
      </c>
      <c r="B127" s="1">
        <v>49</v>
      </c>
      <c r="C127" s="1" t="s">
        <v>543</v>
      </c>
      <c r="D127" s="1" t="str">
        <f>PROPER(Table3[[#This Row],[Gender]])</f>
        <v>Female</v>
      </c>
      <c r="E127" s="1" t="s">
        <v>555</v>
      </c>
      <c r="F127" s="1" t="str">
        <f>PROPER(Table3[[#This Row],[Country_Region]])</f>
        <v>Russia</v>
      </c>
      <c r="G127" s="1">
        <v>2023</v>
      </c>
      <c r="H127" s="1">
        <v>8.8000000000000007</v>
      </c>
      <c r="I127" s="1">
        <f>IF(H127="", AVERAGEIF('CLEANED DATASET'!$G$2:$G$532,G127,'CLEANED DATASET'!$H238),H127)</f>
        <v>8.8000000000000007</v>
      </c>
      <c r="J127" s="1">
        <v>8.4</v>
      </c>
      <c r="K127" s="1">
        <f t="shared" si="9"/>
        <v>8.4</v>
      </c>
      <c r="L127" s="1">
        <v>3.9</v>
      </c>
      <c r="M127" s="1">
        <f t="shared" si="10"/>
        <v>3.9</v>
      </c>
      <c r="N127" s="1">
        <v>9.3000000000000007</v>
      </c>
      <c r="O127" s="1">
        <f t="shared" si="11"/>
        <v>9.3000000000000007</v>
      </c>
      <c r="P127" s="1">
        <v>4.3</v>
      </c>
      <c r="Q127" s="1">
        <f t="shared" si="17"/>
        <v>4.3</v>
      </c>
      <c r="R127" s="1" t="s">
        <v>573</v>
      </c>
      <c r="S127" s="1" t="str">
        <f>PROPER(Table3[[#This Row],[Cancer_Type]])</f>
        <v>Breast</v>
      </c>
      <c r="T127" s="1" t="s">
        <v>594</v>
      </c>
      <c r="U127" s="4">
        <v>11416.24</v>
      </c>
      <c r="V127" s="1">
        <v>5.4</v>
      </c>
      <c r="W127" s="1">
        <f t="shared" ca="1" si="13"/>
        <v>2</v>
      </c>
      <c r="X127" s="3">
        <f>ROUND(I127+K127+M127+O127+Q127+(10-V127)/6, 2)</f>
        <v>35.47</v>
      </c>
      <c r="Y127" s="1" t="str">
        <f t="shared" si="14"/>
        <v>Stage IV</v>
      </c>
      <c r="Z127" s="10">
        <f t="shared" si="16"/>
        <v>11416.24</v>
      </c>
    </row>
    <row r="128" spans="1:26">
      <c r="A128" s="1" t="s">
        <v>489</v>
      </c>
      <c r="B128" s="1">
        <v>73</v>
      </c>
      <c r="C128" s="1" t="s">
        <v>541</v>
      </c>
      <c r="D128" s="1" t="str">
        <f>PROPER(Table3[[#This Row],[Gender]])</f>
        <v>Other</v>
      </c>
      <c r="E128" s="1" t="s">
        <v>555</v>
      </c>
      <c r="F128" s="1" t="str">
        <f>PROPER(Table3[[#This Row],[Country_Region]])</f>
        <v>Russia</v>
      </c>
      <c r="G128" s="1">
        <v>2023</v>
      </c>
      <c r="H128" s="1">
        <v>6.5</v>
      </c>
      <c r="I128" s="1">
        <f>IF(H128="", AVERAGEIF('CLEANED DATASET'!$G$2:$G$532,G128,'CLEANED DATASET'!$H481),H128)</f>
        <v>6.5</v>
      </c>
      <c r="J128" s="1">
        <v>5.5</v>
      </c>
      <c r="K128" s="1">
        <f t="shared" si="9"/>
        <v>5.5</v>
      </c>
      <c r="L128" s="1"/>
      <c r="M128" s="3">
        <f t="shared" si="10"/>
        <v>4.851162790697674</v>
      </c>
      <c r="N128" s="1"/>
      <c r="O128" s="3">
        <f t="shared" si="11"/>
        <v>4.6385826771653553</v>
      </c>
      <c r="P128" s="1">
        <v>4</v>
      </c>
      <c r="Q128" s="1">
        <f t="shared" si="17"/>
        <v>4</v>
      </c>
      <c r="R128" s="1" t="s">
        <v>578</v>
      </c>
      <c r="S128" s="1" t="str">
        <f>PROPER(Table3[[#This Row],[Cancer_Type]])</f>
        <v>Liver</v>
      </c>
      <c r="T128" s="1" t="s">
        <v>590</v>
      </c>
      <c r="U128" s="4">
        <v>6475.82</v>
      </c>
      <c r="V128" s="1">
        <v>6.2</v>
      </c>
      <c r="W128" s="1">
        <f t="shared" ca="1" si="13"/>
        <v>3</v>
      </c>
      <c r="X128" s="1">
        <v>7.5</v>
      </c>
      <c r="Y128" s="1" t="str">
        <f t="shared" si="14"/>
        <v>Stage III</v>
      </c>
      <c r="Z128" s="10">
        <f t="shared" si="16"/>
        <v>6475.82</v>
      </c>
    </row>
    <row r="129" spans="1:26">
      <c r="A129" s="1" t="s">
        <v>182</v>
      </c>
      <c r="B129" s="1">
        <v>30</v>
      </c>
      <c r="C129" s="1" t="s">
        <v>542</v>
      </c>
      <c r="D129" s="1" t="str">
        <f>PROPER(Table3[[#This Row],[Gender]])</f>
        <v>Male</v>
      </c>
      <c r="E129" s="1" t="s">
        <v>553</v>
      </c>
      <c r="F129" s="1" t="str">
        <f>PROPER(Table3[[#This Row],[Country_Region]])</f>
        <v>Canada</v>
      </c>
      <c r="G129" s="1">
        <v>2024</v>
      </c>
      <c r="H129" s="1">
        <v>5.4</v>
      </c>
      <c r="I129" s="1">
        <f>IF(H129="", AVERAGEIF('CLEANED DATASET'!$G$2:$G$532,G129,'CLEANED DATASET'!$H174),H129)</f>
        <v>5.4</v>
      </c>
      <c r="J129" s="1">
        <v>0.8</v>
      </c>
      <c r="K129" s="1">
        <f t="shared" si="9"/>
        <v>0.8</v>
      </c>
      <c r="L129" s="1">
        <v>4.5</v>
      </c>
      <c r="M129" s="1">
        <f t="shared" si="10"/>
        <v>4.5</v>
      </c>
      <c r="N129" s="1">
        <v>8.9</v>
      </c>
      <c r="O129" s="1">
        <f t="shared" si="11"/>
        <v>8.9</v>
      </c>
      <c r="P129" s="1">
        <v>9.6999999999999993</v>
      </c>
      <c r="Q129" s="1">
        <f t="shared" si="17"/>
        <v>9.6999999999999993</v>
      </c>
      <c r="R129" s="1" t="s">
        <v>579</v>
      </c>
      <c r="S129" s="1" t="str">
        <f>PROPER(Table3[[#This Row],[Cancer_Type]])</f>
        <v>Prostate</v>
      </c>
      <c r="T129" s="1" t="s">
        <v>592</v>
      </c>
      <c r="U129" s="4">
        <v>87891.34</v>
      </c>
      <c r="V129" s="1">
        <v>4.8</v>
      </c>
      <c r="W129" s="1">
        <f t="shared" ca="1" si="13"/>
        <v>6</v>
      </c>
      <c r="X129" s="1">
        <v>4.87</v>
      </c>
      <c r="Y129" s="1" t="str">
        <f t="shared" si="14"/>
        <v>Stage II</v>
      </c>
      <c r="Z129" s="10">
        <f t="shared" si="16"/>
        <v>87891.34</v>
      </c>
    </row>
    <row r="130" spans="1:26">
      <c r="A130" s="1" t="s">
        <v>388</v>
      </c>
      <c r="B130" s="1">
        <v>39</v>
      </c>
      <c r="C130" s="1" t="s">
        <v>542</v>
      </c>
      <c r="D130" s="1" t="str">
        <f>PROPER(Table3[[#This Row],[Gender]])</f>
        <v>Male</v>
      </c>
      <c r="E130" s="1" t="s">
        <v>549</v>
      </c>
      <c r="F130" s="1" t="str">
        <f>PROPER(Table3[[#This Row],[Country_Region]])</f>
        <v>Australia</v>
      </c>
      <c r="G130" s="1">
        <v>2024</v>
      </c>
      <c r="H130" s="1">
        <v>0.7</v>
      </c>
      <c r="I130" s="1">
        <f>IF(H130="", AVERAGEIF('CLEANED DATASET'!$G$2:$G$532,G130,'CLEANED DATASET'!$H380),H130)</f>
        <v>0.7</v>
      </c>
      <c r="J130" s="1">
        <v>4.3</v>
      </c>
      <c r="K130" s="1">
        <f t="shared" ref="K130:K193" si="18">IF(J130="",ROUND(AVERAGEIF(G134:G660,G130,J130:J660),1),J130)</f>
        <v>4.3</v>
      </c>
      <c r="L130" s="1">
        <v>9.8000000000000007</v>
      </c>
      <c r="M130" s="1">
        <f t="shared" ref="M130:M193" si="19">IF(L130="", AVERAGEIF(G130:G660, G130,L130:L660),L130)</f>
        <v>9.8000000000000007</v>
      </c>
      <c r="N130" s="1">
        <v>8.8000000000000007</v>
      </c>
      <c r="O130" s="1">
        <f t="shared" ref="O130:O193" si="20">IF(N130="",AVERAGEIF(G130:G660,G130,N130:N660),N130)</f>
        <v>8.8000000000000007</v>
      </c>
      <c r="P130" s="1">
        <v>8.9</v>
      </c>
      <c r="Q130" s="1">
        <f t="shared" si="17"/>
        <v>8.9</v>
      </c>
      <c r="R130" s="1" t="s">
        <v>570</v>
      </c>
      <c r="S130" s="1" t="str">
        <f>PROPER(Table3[[#This Row],[Cancer_Type]])</f>
        <v>Skin</v>
      </c>
      <c r="T130" s="1" t="s">
        <v>592</v>
      </c>
      <c r="U130" s="4">
        <v>31086.5</v>
      </c>
      <c r="V130" s="1">
        <v>6.1</v>
      </c>
      <c r="W130" s="1">
        <f t="shared" ref="W130:W193" ca="1" si="21">IF(Y130="Stage 0",RANDBETWEEN(9,10),
IF(Y130="Stage I",RANDBETWEEN(7,8),
IF(Y130="Stage II",RANDBETWEEN(5,6),
IF(Y130="Stage III",RANDBETWEEN(3,4),
IF(Y130="Stage IV",RANDBETWEEN(1,2),"")))))</f>
        <v>3</v>
      </c>
      <c r="X130" s="1">
        <v>6.28</v>
      </c>
      <c r="Y130" s="1" t="str">
        <f t="shared" ref="Y130:Y193" si="22">IF(X130&lt;=2,"Stage 0",IF(X130&lt;=4,"Stage I",IF(X130&lt;=6,"Stage II",IF(X130&lt;=8,"Stage III", "Stage IV"))))</f>
        <v>Stage III</v>
      </c>
      <c r="Z130" s="10">
        <f t="shared" si="16"/>
        <v>31086.5</v>
      </c>
    </row>
    <row r="131" spans="1:26">
      <c r="A131" s="1" t="s">
        <v>459</v>
      </c>
      <c r="B131" s="1">
        <v>51</v>
      </c>
      <c r="C131" s="1" t="s">
        <v>543</v>
      </c>
      <c r="D131" s="1" t="str">
        <f>PROPER(Table3[[#This Row],[Gender]])</f>
        <v>Female</v>
      </c>
      <c r="E131" s="1" t="s">
        <v>554</v>
      </c>
      <c r="F131" s="1" t="str">
        <f>PROPER(Table3[[#This Row],[Country_Region]])</f>
        <v>Brazil</v>
      </c>
      <c r="G131" s="1">
        <v>2022</v>
      </c>
      <c r="H131" s="1">
        <v>1</v>
      </c>
      <c r="I131" s="1">
        <f>IF(H131="", AVERAGEIF('CLEANED DATASET'!$G$2:$G$532,G131,'CLEANED DATASET'!$H451),H131)</f>
        <v>1</v>
      </c>
      <c r="J131" s="1">
        <v>0.2</v>
      </c>
      <c r="K131" s="1">
        <f t="shared" si="18"/>
        <v>0.2</v>
      </c>
      <c r="L131" s="1">
        <v>7</v>
      </c>
      <c r="M131" s="1">
        <f t="shared" si="19"/>
        <v>7</v>
      </c>
      <c r="N131" s="1">
        <v>7.4</v>
      </c>
      <c r="O131" s="1">
        <f t="shared" si="20"/>
        <v>7.4</v>
      </c>
      <c r="P131" s="1">
        <v>0.2</v>
      </c>
      <c r="Q131" s="1">
        <f t="shared" si="17"/>
        <v>0.2</v>
      </c>
      <c r="R131" s="1" t="s">
        <v>573</v>
      </c>
      <c r="S131" s="1" t="str">
        <f>PROPER(Table3[[#This Row],[Cancer_Type]])</f>
        <v>Breast</v>
      </c>
      <c r="T131" s="1" t="s">
        <v>593</v>
      </c>
      <c r="U131" s="4">
        <v>66913.42</v>
      </c>
      <c r="V131" s="1">
        <v>3.9</v>
      </c>
      <c r="W131" s="1">
        <f t="shared" ca="1" si="21"/>
        <v>7</v>
      </c>
      <c r="X131" s="1">
        <v>3.44</v>
      </c>
      <c r="Y131" s="1" t="str">
        <f t="shared" si="22"/>
        <v>Stage I</v>
      </c>
      <c r="Z131" s="10">
        <f t="shared" si="16"/>
        <v>66913.42</v>
      </c>
    </row>
    <row r="132" spans="1:26">
      <c r="A132" s="1" t="s">
        <v>19</v>
      </c>
      <c r="B132" s="1">
        <v>76</v>
      </c>
      <c r="C132" s="1" t="s">
        <v>543</v>
      </c>
      <c r="D132" s="1" t="str">
        <f>PROPER(Table3[[#This Row],[Gender]])</f>
        <v>Female</v>
      </c>
      <c r="E132" s="1" t="s">
        <v>567</v>
      </c>
      <c r="F132" s="1" t="str">
        <f>PROPER(Table3[[#This Row],[Country_Region]])</f>
        <v>Canada</v>
      </c>
      <c r="G132" s="1">
        <v>2022</v>
      </c>
      <c r="H132" s="1">
        <v>3.6</v>
      </c>
      <c r="I132" s="1">
        <f>IF(H132="", AVERAGEIF('CLEANED DATASET'!$G$2:$G$532,G132,'CLEANED DATASET'!$H11),H132)</f>
        <v>3.6</v>
      </c>
      <c r="J132" s="1">
        <v>5.7</v>
      </c>
      <c r="K132" s="1">
        <f t="shared" si="18"/>
        <v>5.7</v>
      </c>
      <c r="L132" s="1">
        <v>5.2</v>
      </c>
      <c r="M132" s="1">
        <f t="shared" si="19"/>
        <v>5.2</v>
      </c>
      <c r="N132" s="1">
        <v>3.2</v>
      </c>
      <c r="O132" s="1">
        <f t="shared" si="20"/>
        <v>3.2</v>
      </c>
      <c r="P132" s="1"/>
      <c r="Q132" s="3">
        <f t="shared" si="17"/>
        <v>5.6893129770992372</v>
      </c>
      <c r="R132" s="1" t="s">
        <v>573</v>
      </c>
      <c r="S132" s="1" t="str">
        <f>PROPER(Table3[[#This Row],[Cancer_Type]])</f>
        <v>Breast</v>
      </c>
      <c r="T132" s="1" t="s">
        <v>590</v>
      </c>
      <c r="U132" s="4">
        <v>19349.740000000002</v>
      </c>
      <c r="V132" s="1">
        <v>3.9</v>
      </c>
      <c r="W132" s="1">
        <f t="shared" ca="1" si="21"/>
        <v>2</v>
      </c>
      <c r="X132" s="3">
        <f>ROUND(I132+K132+M132+O132+Q132+(10-V132)/6, 2)</f>
        <v>24.41</v>
      </c>
      <c r="Y132" s="1" t="str">
        <f t="shared" si="22"/>
        <v>Stage IV</v>
      </c>
      <c r="Z132" s="10">
        <f t="shared" si="16"/>
        <v>19349.740000000002</v>
      </c>
    </row>
    <row r="133" spans="1:26">
      <c r="A133" s="1" t="s">
        <v>455</v>
      </c>
      <c r="B133" s="1">
        <v>87</v>
      </c>
      <c r="C133" s="1" t="s">
        <v>541</v>
      </c>
      <c r="D133" s="1" t="str">
        <f>PROPER(Table3[[#This Row],[Gender]])</f>
        <v>Other</v>
      </c>
      <c r="E133" s="1" t="s">
        <v>567</v>
      </c>
      <c r="F133" s="1" t="str">
        <f>PROPER(Table3[[#This Row],[Country_Region]])</f>
        <v>Canada</v>
      </c>
      <c r="G133" s="1">
        <v>2024</v>
      </c>
      <c r="H133" s="1">
        <v>4.9000000000000004</v>
      </c>
      <c r="I133" s="1">
        <f>IF(H133="", AVERAGEIF('CLEANED DATASET'!$G$2:$G$532,G133,'CLEANED DATASET'!$H447),H133)</f>
        <v>4.9000000000000004</v>
      </c>
      <c r="J133" s="1">
        <v>5.3</v>
      </c>
      <c r="K133" s="1">
        <f t="shared" si="18"/>
        <v>5.3</v>
      </c>
      <c r="L133" s="1">
        <v>3.8</v>
      </c>
      <c r="M133" s="1">
        <f t="shared" si="19"/>
        <v>3.8</v>
      </c>
      <c r="N133" s="1">
        <v>6.3</v>
      </c>
      <c r="O133" s="1">
        <f t="shared" si="20"/>
        <v>6.3</v>
      </c>
      <c r="P133" s="1">
        <v>0.4</v>
      </c>
      <c r="Q133" s="1">
        <f t="shared" si="17"/>
        <v>0.4</v>
      </c>
      <c r="R133" s="1" t="s">
        <v>603</v>
      </c>
      <c r="S133" s="1" t="str">
        <f>PROPER(Table3[[#This Row],[Cancer_Type]])</f>
        <v>Unknown</v>
      </c>
      <c r="T133" s="1"/>
      <c r="U133" s="4"/>
      <c r="V133" s="1">
        <v>6.3</v>
      </c>
      <c r="W133" s="1">
        <f t="shared" ca="1" si="21"/>
        <v>5</v>
      </c>
      <c r="X133" s="1">
        <v>4.54</v>
      </c>
      <c r="Y133" s="1" t="str">
        <f t="shared" si="22"/>
        <v>Stage II</v>
      </c>
      <c r="Z133" s="10">
        <f t="shared" si="16"/>
        <v>51978.67</v>
      </c>
    </row>
    <row r="134" spans="1:26">
      <c r="A134" s="1" t="s">
        <v>518</v>
      </c>
      <c r="B134" s="1">
        <v>41</v>
      </c>
      <c r="C134" s="1" t="s">
        <v>546</v>
      </c>
      <c r="D134" s="1" t="str">
        <f>PROPER(Table3[[#This Row],[Gender]])</f>
        <v>Unknown</v>
      </c>
      <c r="E134" s="1" t="s">
        <v>555</v>
      </c>
      <c r="F134" s="1" t="str">
        <f>PROPER(Table3[[#This Row],[Country_Region]])</f>
        <v>Russia</v>
      </c>
      <c r="G134" s="1">
        <v>2023</v>
      </c>
      <c r="H134" s="1">
        <v>4.5</v>
      </c>
      <c r="I134" s="1">
        <f>IF(H134="", AVERAGEIF('CLEANED DATASET'!$G$2:$G$532,G134,'CLEANED DATASET'!$H510),H134)</f>
        <v>4.5</v>
      </c>
      <c r="J134" s="1">
        <v>9.6999999999999993</v>
      </c>
      <c r="K134" s="1">
        <f t="shared" si="18"/>
        <v>9.6999999999999993</v>
      </c>
      <c r="L134" s="1"/>
      <c r="M134" s="3">
        <f t="shared" si="19"/>
        <v>4.851162790697674</v>
      </c>
      <c r="N134" s="1">
        <v>7.5</v>
      </c>
      <c r="O134" s="1">
        <f t="shared" si="20"/>
        <v>7.5</v>
      </c>
      <c r="P134" s="1">
        <v>5.9</v>
      </c>
      <c r="Q134" s="1">
        <f t="shared" ref="Q134:Q159" si="23">IF(P134="",AVERAGEIF(G134:G664,G134,P134:P664),P134)</f>
        <v>5.9</v>
      </c>
      <c r="R134" s="1" t="s">
        <v>572</v>
      </c>
      <c r="S134" s="1" t="str">
        <f>PROPER(Table3[[#This Row],[Cancer_Type]])</f>
        <v>Leukemia</v>
      </c>
      <c r="T134" s="1" t="s">
        <v>590</v>
      </c>
      <c r="U134" s="4">
        <v>25995.51</v>
      </c>
      <c r="V134" s="1">
        <v>3.3</v>
      </c>
      <c r="W134" s="1">
        <f t="shared" ca="1" si="21"/>
        <v>4</v>
      </c>
      <c r="X134" s="1">
        <v>6.29</v>
      </c>
      <c r="Y134" s="1" t="str">
        <f t="shared" si="22"/>
        <v>Stage III</v>
      </c>
      <c r="Z134" s="10">
        <f t="shared" si="16"/>
        <v>25995.51</v>
      </c>
    </row>
    <row r="135" spans="1:26">
      <c r="A135" s="1" t="s">
        <v>339</v>
      </c>
      <c r="B135" s="1">
        <v>30</v>
      </c>
      <c r="C135" s="1" t="s">
        <v>543</v>
      </c>
      <c r="D135" s="1" t="str">
        <f>PROPER(Table3[[#This Row],[Gender]])</f>
        <v>Female</v>
      </c>
      <c r="E135" s="1" t="s">
        <v>548</v>
      </c>
      <c r="F135" s="1" t="str">
        <f>PROPER(Table3[[#This Row],[Country_Region]])</f>
        <v>Uk</v>
      </c>
      <c r="G135" s="1">
        <v>2024</v>
      </c>
      <c r="H135" s="1">
        <v>1.4</v>
      </c>
      <c r="I135" s="1">
        <f>IF(H135="", AVERAGEIF('CLEANED DATASET'!$G$2:$G$532,G135,'CLEANED DATASET'!$H331),H135)</f>
        <v>1.4</v>
      </c>
      <c r="J135" s="1">
        <v>3.8</v>
      </c>
      <c r="K135" s="1">
        <f t="shared" si="18"/>
        <v>3.8</v>
      </c>
      <c r="L135" s="1">
        <v>1.8</v>
      </c>
      <c r="M135" s="1">
        <f t="shared" si="19"/>
        <v>1.8</v>
      </c>
      <c r="N135" s="1">
        <v>0.1</v>
      </c>
      <c r="O135" s="1">
        <f t="shared" si="20"/>
        <v>0.1</v>
      </c>
      <c r="P135" s="1">
        <v>3.9</v>
      </c>
      <c r="Q135" s="1">
        <f t="shared" si="23"/>
        <v>3.9</v>
      </c>
      <c r="R135" s="1" t="s">
        <v>573</v>
      </c>
      <c r="S135" s="1" t="str">
        <f>PROPER(Table3[[#This Row],[Cancer_Type]])</f>
        <v>Breast</v>
      </c>
      <c r="T135" s="1" t="s">
        <v>593</v>
      </c>
      <c r="U135" s="4">
        <v>53251.5</v>
      </c>
      <c r="V135" s="1">
        <v>5.7</v>
      </c>
      <c r="W135" s="1">
        <f t="shared" ca="1" si="21"/>
        <v>8</v>
      </c>
      <c r="X135" s="1">
        <v>2.46</v>
      </c>
      <c r="Y135" s="1" t="str">
        <f t="shared" si="22"/>
        <v>Stage I</v>
      </c>
      <c r="Z135" s="10">
        <f t="shared" si="16"/>
        <v>53251.5</v>
      </c>
    </row>
    <row r="136" spans="1:26">
      <c r="A136" s="1" t="s">
        <v>265</v>
      </c>
      <c r="B136" s="1">
        <v>58</v>
      </c>
      <c r="C136" s="1" t="s">
        <v>542</v>
      </c>
      <c r="D136" s="1" t="str">
        <f>PROPER(Table3[[#This Row],[Gender]])</f>
        <v>Male</v>
      </c>
      <c r="E136" s="1" t="s">
        <v>568</v>
      </c>
      <c r="F136" s="1" t="str">
        <f>PROPER(Table3[[#This Row],[Country_Region]])</f>
        <v>Canada</v>
      </c>
      <c r="G136" s="1">
        <v>2022</v>
      </c>
      <c r="H136" s="1">
        <v>5.7</v>
      </c>
      <c r="I136" s="1">
        <f>IF(H136="", AVERAGEIF('CLEANED DATASET'!$G$2:$G$532,G136,'CLEANED DATASET'!$H257),H136)</f>
        <v>5.7</v>
      </c>
      <c r="J136" s="1">
        <v>4.4000000000000004</v>
      </c>
      <c r="K136" s="1">
        <f t="shared" si="18"/>
        <v>4.4000000000000004</v>
      </c>
      <c r="L136" s="1">
        <v>6.3</v>
      </c>
      <c r="M136" s="1">
        <f t="shared" si="19"/>
        <v>6.3</v>
      </c>
      <c r="N136" s="1">
        <v>1.9</v>
      </c>
      <c r="O136" s="1">
        <f t="shared" si="20"/>
        <v>1.9</v>
      </c>
      <c r="P136" s="1">
        <v>6.2</v>
      </c>
      <c r="Q136" s="1">
        <f t="shared" si="23"/>
        <v>6.2</v>
      </c>
      <c r="R136" s="1" t="s">
        <v>570</v>
      </c>
      <c r="S136" s="1" t="str">
        <f>PROPER(Table3[[#This Row],[Cancer_Type]])</f>
        <v>Skin</v>
      </c>
      <c r="T136" s="1" t="s">
        <v>593</v>
      </c>
      <c r="U136" s="4">
        <v>73493.03</v>
      </c>
      <c r="V136" s="1">
        <v>6.7</v>
      </c>
      <c r="W136" s="1">
        <f t="shared" ca="1" si="21"/>
        <v>5</v>
      </c>
      <c r="X136" s="1">
        <v>4.28</v>
      </c>
      <c r="Y136" s="1" t="str">
        <f t="shared" si="22"/>
        <v>Stage II</v>
      </c>
      <c r="Z136" s="10">
        <f t="shared" si="16"/>
        <v>73493.03</v>
      </c>
    </row>
    <row r="137" spans="1:26">
      <c r="A137" s="1" t="s">
        <v>186</v>
      </c>
      <c r="B137" s="1">
        <v>31</v>
      </c>
      <c r="C137" s="1" t="s">
        <v>542</v>
      </c>
      <c r="D137" s="1" t="str">
        <f>PROPER(Table3[[#This Row],[Gender]])</f>
        <v>Male</v>
      </c>
      <c r="E137" s="1" t="s">
        <v>551</v>
      </c>
      <c r="F137" s="1" t="str">
        <f>PROPER(Table3[[#This Row],[Country_Region]])</f>
        <v>Germany</v>
      </c>
      <c r="G137" s="1">
        <v>2024</v>
      </c>
      <c r="H137" s="1">
        <v>4.7</v>
      </c>
      <c r="I137" s="1">
        <f>IF(H137="", AVERAGEIF('CLEANED DATASET'!$G$2:$G$532,G137,'CLEANED DATASET'!$H178),H137)</f>
        <v>4.7</v>
      </c>
      <c r="J137" s="1">
        <v>0.5</v>
      </c>
      <c r="K137" s="1">
        <f t="shared" si="18"/>
        <v>0.5</v>
      </c>
      <c r="L137" s="1">
        <v>4</v>
      </c>
      <c r="M137" s="1">
        <f t="shared" si="19"/>
        <v>4</v>
      </c>
      <c r="N137" s="1">
        <v>8</v>
      </c>
      <c r="O137" s="1">
        <f t="shared" si="20"/>
        <v>8</v>
      </c>
      <c r="P137" s="1">
        <v>7.2</v>
      </c>
      <c r="Q137" s="1">
        <f t="shared" si="23"/>
        <v>7.2</v>
      </c>
      <c r="R137" s="1" t="s">
        <v>573</v>
      </c>
      <c r="S137" s="1" t="str">
        <f>PROPER(Table3[[#This Row],[Cancer_Type]])</f>
        <v>Breast</v>
      </c>
      <c r="T137" s="1" t="s">
        <v>594</v>
      </c>
      <c r="U137" s="4">
        <v>77439.539999999994</v>
      </c>
      <c r="V137" s="1">
        <v>7</v>
      </c>
      <c r="W137" s="1">
        <f t="shared" ca="1" si="21"/>
        <v>6</v>
      </c>
      <c r="X137" s="1">
        <v>4.3899999999999997</v>
      </c>
      <c r="Y137" s="1" t="str">
        <f t="shared" si="22"/>
        <v>Stage II</v>
      </c>
      <c r="Z137" s="10">
        <f t="shared" ref="Z137:Z200" si="24">IF(U137&lt;&gt;"",U137,ROUND(AVERAGEIF(S137:S667,S137,U137:U667),2))</f>
        <v>77439.539999999994</v>
      </c>
    </row>
    <row r="138" spans="1:26">
      <c r="A138" s="1" t="s">
        <v>307</v>
      </c>
      <c r="B138" s="1">
        <v>32</v>
      </c>
      <c r="C138" s="1" t="s">
        <v>542</v>
      </c>
      <c r="D138" s="1" t="str">
        <f>PROPER(Table3[[#This Row],[Gender]])</f>
        <v>Male</v>
      </c>
      <c r="E138" s="1" t="s">
        <v>554</v>
      </c>
      <c r="F138" s="1" t="str">
        <f>PROPER(Table3[[#This Row],[Country_Region]])</f>
        <v>Brazil</v>
      </c>
      <c r="G138" s="1">
        <v>2022</v>
      </c>
      <c r="H138" s="1">
        <v>4.4000000000000004</v>
      </c>
      <c r="I138" s="1">
        <f>IF(H138="", AVERAGEIF('CLEANED DATASET'!$G$2:$G$532,G138,'CLEANED DATASET'!$H299),H138)</f>
        <v>4.4000000000000004</v>
      </c>
      <c r="J138" s="1">
        <v>6.9</v>
      </c>
      <c r="K138" s="1">
        <f t="shared" si="18"/>
        <v>6.9</v>
      </c>
      <c r="L138" s="1">
        <v>4.7</v>
      </c>
      <c r="M138" s="1">
        <f t="shared" si="19"/>
        <v>4.7</v>
      </c>
      <c r="N138" s="1">
        <v>1.8</v>
      </c>
      <c r="O138" s="1">
        <f t="shared" si="20"/>
        <v>1.8</v>
      </c>
      <c r="P138" s="1">
        <v>3.1</v>
      </c>
      <c r="Q138" s="1">
        <f t="shared" si="23"/>
        <v>3.1</v>
      </c>
      <c r="R138" s="1" t="s">
        <v>570</v>
      </c>
      <c r="S138" s="1" t="str">
        <f>PROPER(Table3[[#This Row],[Cancer_Type]])</f>
        <v>Skin</v>
      </c>
      <c r="T138" s="1" t="s">
        <v>592</v>
      </c>
      <c r="U138" s="4">
        <v>82073.36</v>
      </c>
      <c r="V138" s="1">
        <v>1.3</v>
      </c>
      <c r="W138" s="1">
        <f t="shared" ca="1" si="21"/>
        <v>8</v>
      </c>
      <c r="X138" s="1">
        <v>3.65</v>
      </c>
      <c r="Y138" s="1" t="str">
        <f t="shared" si="22"/>
        <v>Stage I</v>
      </c>
      <c r="Z138" s="10">
        <f t="shared" si="24"/>
        <v>82073.36</v>
      </c>
    </row>
    <row r="139" spans="1:26">
      <c r="A139" s="1" t="s">
        <v>438</v>
      </c>
      <c r="B139" s="1">
        <v>26</v>
      </c>
      <c r="C139" s="1" t="s">
        <v>543</v>
      </c>
      <c r="D139" s="1" t="str">
        <f>PROPER(Table3[[#This Row],[Gender]])</f>
        <v>Female</v>
      </c>
      <c r="E139" s="1" t="s">
        <v>556</v>
      </c>
      <c r="F139" s="1" t="str">
        <f>PROPER(Table3[[#This Row],[Country_Region]])</f>
        <v>India</v>
      </c>
      <c r="G139" s="1">
        <v>2023</v>
      </c>
      <c r="H139" s="1">
        <v>4.4000000000000004</v>
      </c>
      <c r="I139" s="1">
        <f>IF(H139="", AVERAGEIF('CLEANED DATASET'!$G$2:$G$532,G139,'CLEANED DATASET'!$H430),H139)</f>
        <v>4.4000000000000004</v>
      </c>
      <c r="J139" s="1">
        <v>9.1</v>
      </c>
      <c r="K139" s="1">
        <f t="shared" si="18"/>
        <v>9.1</v>
      </c>
      <c r="L139" s="1">
        <v>9.8000000000000007</v>
      </c>
      <c r="M139" s="1">
        <f t="shared" si="19"/>
        <v>9.8000000000000007</v>
      </c>
      <c r="N139" s="1">
        <v>2.7</v>
      </c>
      <c r="O139" s="1">
        <f t="shared" si="20"/>
        <v>2.7</v>
      </c>
      <c r="P139" s="1">
        <v>4.3</v>
      </c>
      <c r="Q139" s="1">
        <f t="shared" si="23"/>
        <v>4.3</v>
      </c>
      <c r="R139" s="1" t="s">
        <v>573</v>
      </c>
      <c r="S139" s="1" t="str">
        <f>PROPER(Table3[[#This Row],[Cancer_Type]])</f>
        <v>Breast</v>
      </c>
      <c r="T139" s="1" t="s">
        <v>592</v>
      </c>
      <c r="U139" s="4">
        <v>58502</v>
      </c>
      <c r="V139" s="1">
        <v>8</v>
      </c>
      <c r="W139" s="1">
        <f t="shared" ca="1" si="21"/>
        <v>6</v>
      </c>
      <c r="X139" s="1">
        <v>5.51</v>
      </c>
      <c r="Y139" s="1" t="str">
        <f t="shared" si="22"/>
        <v>Stage II</v>
      </c>
      <c r="Z139" s="10">
        <f t="shared" si="24"/>
        <v>58502</v>
      </c>
    </row>
    <row r="140" spans="1:26">
      <c r="A140" s="1" t="s">
        <v>118</v>
      </c>
      <c r="B140" s="1">
        <v>30</v>
      </c>
      <c r="C140" s="1" t="s">
        <v>543</v>
      </c>
      <c r="D140" s="1" t="str">
        <f>PROPER(Table3[[#This Row],[Gender]])</f>
        <v>Female</v>
      </c>
      <c r="E140" s="1" t="s">
        <v>553</v>
      </c>
      <c r="F140" s="1" t="str">
        <f>PROPER(Table3[[#This Row],[Country_Region]])</f>
        <v>Canada</v>
      </c>
      <c r="G140" s="1">
        <v>2024</v>
      </c>
      <c r="H140" s="1">
        <v>5.0999999999999996</v>
      </c>
      <c r="I140" s="1">
        <f>IF(H140="", AVERAGEIF('CLEANED DATASET'!$G$2:$G$532,G140,'CLEANED DATASET'!$H110),H140)</f>
        <v>5.0999999999999996</v>
      </c>
      <c r="J140" s="1">
        <v>7</v>
      </c>
      <c r="K140" s="1">
        <f t="shared" si="18"/>
        <v>7</v>
      </c>
      <c r="L140" s="1">
        <v>5.3</v>
      </c>
      <c r="M140" s="1">
        <f t="shared" si="19"/>
        <v>5.3</v>
      </c>
      <c r="N140" s="1">
        <v>1.1000000000000001</v>
      </c>
      <c r="O140" s="1">
        <f t="shared" si="20"/>
        <v>1.1000000000000001</v>
      </c>
      <c r="P140" s="1">
        <v>8.1999999999999993</v>
      </c>
      <c r="Q140" s="1">
        <f t="shared" si="23"/>
        <v>8.1999999999999993</v>
      </c>
      <c r="R140" s="1" t="s">
        <v>576</v>
      </c>
      <c r="S140" s="1" t="str">
        <f>PROPER(Table3[[#This Row],[Cancer_Type]])</f>
        <v>Cervical</v>
      </c>
      <c r="T140" s="1" t="s">
        <v>592</v>
      </c>
      <c r="U140" s="4">
        <v>77012.490000000005</v>
      </c>
      <c r="V140" s="1">
        <v>4</v>
      </c>
      <c r="W140" s="1">
        <f t="shared" ca="1" si="21"/>
        <v>6</v>
      </c>
      <c r="X140" s="1">
        <v>4.3600000000000003</v>
      </c>
      <c r="Y140" s="1" t="str">
        <f t="shared" si="22"/>
        <v>Stage II</v>
      </c>
      <c r="Z140" s="10">
        <f t="shared" si="24"/>
        <v>77012.490000000005</v>
      </c>
    </row>
    <row r="141" spans="1:26">
      <c r="A141" s="1" t="s">
        <v>349</v>
      </c>
      <c r="B141" s="1">
        <v>80</v>
      </c>
      <c r="C141" s="1" t="s">
        <v>541</v>
      </c>
      <c r="D141" s="1" t="str">
        <f>PROPER(Table3[[#This Row],[Gender]])</f>
        <v>Other</v>
      </c>
      <c r="E141" s="1" t="s">
        <v>555</v>
      </c>
      <c r="F141" s="1" t="str">
        <f>PROPER(Table3[[#This Row],[Country_Region]])</f>
        <v>Russia</v>
      </c>
      <c r="G141" s="1">
        <v>2023</v>
      </c>
      <c r="H141" s="1">
        <v>3.6</v>
      </c>
      <c r="I141" s="1">
        <f>IF(H141="", AVERAGEIF('CLEANED DATASET'!$G$2:$G$532,G141,'CLEANED DATASET'!$H341),H141)</f>
        <v>3.6</v>
      </c>
      <c r="J141" s="1">
        <v>7.3</v>
      </c>
      <c r="K141" s="1">
        <f t="shared" si="18"/>
        <v>7.3</v>
      </c>
      <c r="L141" s="1">
        <v>1.1000000000000001</v>
      </c>
      <c r="M141" s="1">
        <f t="shared" si="19"/>
        <v>1.1000000000000001</v>
      </c>
      <c r="N141" s="1">
        <v>6</v>
      </c>
      <c r="O141" s="1">
        <f t="shared" si="20"/>
        <v>6</v>
      </c>
      <c r="P141" s="1">
        <v>0.7</v>
      </c>
      <c r="Q141" s="1">
        <f t="shared" si="23"/>
        <v>0.7</v>
      </c>
      <c r="R141" s="1" t="s">
        <v>570</v>
      </c>
      <c r="S141" s="1" t="str">
        <f>PROPER(Table3[[#This Row],[Cancer_Type]])</f>
        <v>Skin</v>
      </c>
      <c r="T141" s="1" t="s">
        <v>592</v>
      </c>
      <c r="U141" s="4">
        <v>45911.46</v>
      </c>
      <c r="V141" s="1">
        <v>5.9</v>
      </c>
      <c r="W141" s="1">
        <f t="shared" ca="1" si="21"/>
        <v>6</v>
      </c>
      <c r="X141" s="1">
        <v>4.33</v>
      </c>
      <c r="Y141" s="1" t="str">
        <f t="shared" si="22"/>
        <v>Stage II</v>
      </c>
      <c r="Z141" s="10">
        <f t="shared" si="24"/>
        <v>45911.46</v>
      </c>
    </row>
    <row r="142" spans="1:26">
      <c r="A142" s="1" t="s">
        <v>11</v>
      </c>
      <c r="B142" s="1">
        <v>83</v>
      </c>
      <c r="C142" s="1" t="s">
        <v>542</v>
      </c>
      <c r="D142" s="1" t="str">
        <f>PROPER(Table3[[#This Row],[Gender]])</f>
        <v>Male</v>
      </c>
      <c r="E142" s="1" t="s">
        <v>548</v>
      </c>
      <c r="F142" s="1" t="str">
        <f>PROPER(Table3[[#This Row],[Country_Region]])</f>
        <v>Uk</v>
      </c>
      <c r="G142" s="1">
        <v>2024</v>
      </c>
      <c r="H142" s="1">
        <v>4.2</v>
      </c>
      <c r="I142" s="1">
        <f>IF(H142="", AVERAGEIF('CLEANED DATASET'!$G$2:$G$532,G142,'CLEANED DATASET'!$H3),H142)</f>
        <v>4.2</v>
      </c>
      <c r="J142" s="1">
        <v>5.0999999999999996</v>
      </c>
      <c r="K142" s="1">
        <f t="shared" si="18"/>
        <v>5.0999999999999996</v>
      </c>
      <c r="L142" s="1">
        <v>9.6</v>
      </c>
      <c r="M142" s="1">
        <f t="shared" si="19"/>
        <v>9.6</v>
      </c>
      <c r="N142" s="1">
        <v>8</v>
      </c>
      <c r="O142" s="1">
        <f t="shared" si="20"/>
        <v>8</v>
      </c>
      <c r="P142" s="1">
        <v>5.7</v>
      </c>
      <c r="Q142" s="1">
        <f t="shared" si="23"/>
        <v>5.7</v>
      </c>
      <c r="R142" s="1" t="s">
        <v>571</v>
      </c>
      <c r="S142" s="1" t="str">
        <f>PROPER(Table3[[#This Row],[Cancer_Type]])</f>
        <v>Lung</v>
      </c>
      <c r="T142" s="1" t="s">
        <v>591</v>
      </c>
      <c r="U142" s="4">
        <v>89048.16</v>
      </c>
      <c r="V142" s="1">
        <v>7.6</v>
      </c>
      <c r="W142" s="1">
        <f t="shared" ca="1" si="21"/>
        <v>6</v>
      </c>
      <c r="X142" s="1">
        <v>5.43</v>
      </c>
      <c r="Y142" s="1" t="str">
        <f t="shared" si="22"/>
        <v>Stage II</v>
      </c>
      <c r="Z142" s="10">
        <f t="shared" si="24"/>
        <v>89048.16</v>
      </c>
    </row>
    <row r="143" spans="1:26">
      <c r="A143" s="1" t="s">
        <v>173</v>
      </c>
      <c r="B143" s="1">
        <v>63</v>
      </c>
      <c r="C143" s="1" t="s">
        <v>543</v>
      </c>
      <c r="D143" s="1" t="str">
        <f>PROPER(Table3[[#This Row],[Gender]])</f>
        <v>Female</v>
      </c>
      <c r="E143" s="1" t="s">
        <v>554</v>
      </c>
      <c r="F143" s="1" t="str">
        <f>PROPER(Table3[[#This Row],[Country_Region]])</f>
        <v>Brazil</v>
      </c>
      <c r="G143" s="1">
        <v>2023</v>
      </c>
      <c r="H143" s="1">
        <v>4.0999999999999996</v>
      </c>
      <c r="I143" s="1">
        <f>IF(H143="", AVERAGEIF('CLEANED DATASET'!$G$2:$G$532,G143,'CLEANED DATASET'!$H165),H143)</f>
        <v>4.0999999999999996</v>
      </c>
      <c r="J143" s="1">
        <v>4.8</v>
      </c>
      <c r="K143" s="1">
        <f t="shared" si="18"/>
        <v>4.8</v>
      </c>
      <c r="L143" s="1"/>
      <c r="M143" s="3">
        <f t="shared" si="19"/>
        <v>4.8417322834645677</v>
      </c>
      <c r="N143" s="1">
        <v>7.3</v>
      </c>
      <c r="O143" s="1">
        <f t="shared" si="20"/>
        <v>7.3</v>
      </c>
      <c r="P143" s="1">
        <v>5.3</v>
      </c>
      <c r="Q143" s="1">
        <f t="shared" si="23"/>
        <v>5.3</v>
      </c>
      <c r="R143" s="1" t="s">
        <v>603</v>
      </c>
      <c r="S143" s="1" t="str">
        <f>PROPER(Table3[[#This Row],[Cancer_Type]])</f>
        <v>Unknown</v>
      </c>
      <c r="T143" s="1" t="s">
        <v>591</v>
      </c>
      <c r="U143" s="4">
        <v>56152.41</v>
      </c>
      <c r="V143" s="1">
        <v>2.6</v>
      </c>
      <c r="W143" s="1">
        <f t="shared" ca="1" si="21"/>
        <v>5</v>
      </c>
      <c r="X143" s="1">
        <v>5.0999999999999996</v>
      </c>
      <c r="Y143" s="1" t="str">
        <f t="shared" si="22"/>
        <v>Stage II</v>
      </c>
      <c r="Z143" s="10">
        <f t="shared" si="24"/>
        <v>56152.41</v>
      </c>
    </row>
    <row r="144" spans="1:26">
      <c r="A144" s="1" t="s">
        <v>334</v>
      </c>
      <c r="B144" s="1">
        <v>78</v>
      </c>
      <c r="C144" s="1" t="s">
        <v>542</v>
      </c>
      <c r="D144" s="1" t="str">
        <f>PROPER(Table3[[#This Row],[Gender]])</f>
        <v>Male</v>
      </c>
      <c r="E144" s="1" t="s">
        <v>556</v>
      </c>
      <c r="F144" s="1" t="str">
        <f>PROPER(Table3[[#This Row],[Country_Region]])</f>
        <v>India</v>
      </c>
      <c r="G144" s="1">
        <v>2023</v>
      </c>
      <c r="H144" s="1">
        <v>6.2</v>
      </c>
      <c r="I144" s="1">
        <f>IF(H144="", AVERAGEIF('CLEANED DATASET'!$G$2:$G$532,G144,'CLEANED DATASET'!$H326),H144)</f>
        <v>6.2</v>
      </c>
      <c r="J144" s="1">
        <v>3.4</v>
      </c>
      <c r="K144" s="1">
        <f t="shared" si="18"/>
        <v>3.4</v>
      </c>
      <c r="L144" s="1">
        <v>0.3</v>
      </c>
      <c r="M144" s="1">
        <f t="shared" si="19"/>
        <v>0.3</v>
      </c>
      <c r="N144" s="1">
        <v>9.8000000000000007</v>
      </c>
      <c r="O144" s="1">
        <f t="shared" si="20"/>
        <v>9.8000000000000007</v>
      </c>
      <c r="P144" s="1">
        <v>9.6999999999999993</v>
      </c>
      <c r="Q144" s="1">
        <f t="shared" si="23"/>
        <v>9.6999999999999993</v>
      </c>
      <c r="R144" s="1" t="s">
        <v>574</v>
      </c>
      <c r="S144" s="1" t="str">
        <f>PROPER(Table3[[#This Row],[Cancer_Type]])</f>
        <v>Colon</v>
      </c>
      <c r="T144" s="1" t="s">
        <v>590</v>
      </c>
      <c r="U144" s="4">
        <v>37144.35</v>
      </c>
      <c r="V144" s="1">
        <v>6.5</v>
      </c>
      <c r="W144" s="1">
        <f t="shared" ca="1" si="21"/>
        <v>6</v>
      </c>
      <c r="X144" s="1">
        <v>5.98</v>
      </c>
      <c r="Y144" s="1" t="str">
        <f t="shared" si="22"/>
        <v>Stage II</v>
      </c>
      <c r="Z144" s="10">
        <f t="shared" si="24"/>
        <v>37144.35</v>
      </c>
    </row>
    <row r="145" spans="1:26">
      <c r="A145" s="1" t="s">
        <v>88</v>
      </c>
      <c r="B145" s="1">
        <v>29</v>
      </c>
      <c r="C145" s="1" t="s">
        <v>541</v>
      </c>
      <c r="D145" s="1" t="str">
        <f>PROPER(Table3[[#This Row],[Gender]])</f>
        <v>Other</v>
      </c>
      <c r="E145" s="1" t="s">
        <v>552</v>
      </c>
      <c r="F145" s="1" t="str">
        <f>PROPER(Table3[[#This Row],[Country_Region]])</f>
        <v>China</v>
      </c>
      <c r="G145" s="1">
        <v>2022</v>
      </c>
      <c r="H145" s="1">
        <v>8.1999999999999993</v>
      </c>
      <c r="I145" s="1">
        <f>IF(H145="", AVERAGEIF('CLEANED DATASET'!$G$2:$G$532,G145,'CLEANED DATASET'!$H80),H145)</f>
        <v>8.1999999999999993</v>
      </c>
      <c r="J145" s="1">
        <v>0.6</v>
      </c>
      <c r="K145" s="1">
        <f t="shared" si="18"/>
        <v>0.6</v>
      </c>
      <c r="L145" s="1">
        <v>6.8</v>
      </c>
      <c r="M145" s="1">
        <f t="shared" si="19"/>
        <v>6.8</v>
      </c>
      <c r="N145" s="1">
        <v>8.3000000000000007</v>
      </c>
      <c r="O145" s="1">
        <f t="shared" si="20"/>
        <v>8.3000000000000007</v>
      </c>
      <c r="P145" s="1">
        <v>8.3000000000000007</v>
      </c>
      <c r="Q145" s="1">
        <f t="shared" si="23"/>
        <v>8.3000000000000007</v>
      </c>
      <c r="R145" s="1" t="s">
        <v>576</v>
      </c>
      <c r="S145" s="1" t="str">
        <f>PROPER(Table3[[#This Row],[Cancer_Type]])</f>
        <v>Cervical</v>
      </c>
      <c r="T145" s="1" t="s">
        <v>592</v>
      </c>
      <c r="U145" s="4">
        <v>55375.19</v>
      </c>
      <c r="V145" s="1">
        <v>5.4</v>
      </c>
      <c r="W145" s="1">
        <f t="shared" ca="1" si="21"/>
        <v>3</v>
      </c>
      <c r="X145" s="1">
        <v>6.13</v>
      </c>
      <c r="Y145" s="1" t="str">
        <f t="shared" si="22"/>
        <v>Stage III</v>
      </c>
      <c r="Z145" s="10">
        <f t="shared" si="24"/>
        <v>55375.19</v>
      </c>
    </row>
    <row r="146" spans="1:26">
      <c r="A146" s="1" t="s">
        <v>392</v>
      </c>
      <c r="B146" s="1">
        <v>34</v>
      </c>
      <c r="C146" s="1" t="s">
        <v>543</v>
      </c>
      <c r="D146" s="1" t="str">
        <f>PROPER(Table3[[#This Row],[Gender]])</f>
        <v>Female</v>
      </c>
      <c r="E146" s="1" t="s">
        <v>556</v>
      </c>
      <c r="F146" s="1" t="str">
        <f>PROPER(Table3[[#This Row],[Country_Region]])</f>
        <v>India</v>
      </c>
      <c r="G146" s="1">
        <v>2023</v>
      </c>
      <c r="H146" s="1">
        <v>4.7</v>
      </c>
      <c r="I146" s="1">
        <f>IF(H146="", AVERAGEIF('CLEANED DATASET'!$G$2:$G$532,G146,'CLEANED DATASET'!$H384),H146)</f>
        <v>4.7</v>
      </c>
      <c r="J146" s="1">
        <v>0.7</v>
      </c>
      <c r="K146" s="1">
        <f t="shared" si="18"/>
        <v>0.7</v>
      </c>
      <c r="L146" s="1">
        <v>3.5</v>
      </c>
      <c r="M146" s="1">
        <f t="shared" si="19"/>
        <v>3.5</v>
      </c>
      <c r="N146" s="1">
        <v>4.9000000000000004</v>
      </c>
      <c r="O146" s="1">
        <f t="shared" si="20"/>
        <v>4.9000000000000004</v>
      </c>
      <c r="P146" s="1">
        <v>3.8</v>
      </c>
      <c r="Q146" s="1">
        <f t="shared" si="23"/>
        <v>3.8</v>
      </c>
      <c r="R146" s="1" t="s">
        <v>570</v>
      </c>
      <c r="S146" s="1" t="str">
        <f>PROPER(Table3[[#This Row],[Cancer_Type]])</f>
        <v>Skin</v>
      </c>
      <c r="T146" s="1" t="s">
        <v>594</v>
      </c>
      <c r="U146" s="4">
        <v>32333.1</v>
      </c>
      <c r="V146" s="1">
        <f>ROUND(10-((I146+K146+M146+O146+Q146)/5),1)</f>
        <v>6.5</v>
      </c>
      <c r="W146" s="1">
        <f t="shared" ca="1" si="21"/>
        <v>5</v>
      </c>
      <c r="X146" s="1">
        <v>4.28</v>
      </c>
      <c r="Y146" s="1" t="str">
        <f t="shared" si="22"/>
        <v>Stage II</v>
      </c>
      <c r="Z146" s="10">
        <f t="shared" si="24"/>
        <v>32333.1</v>
      </c>
    </row>
    <row r="147" spans="1:26">
      <c r="A147" s="1" t="s">
        <v>484</v>
      </c>
      <c r="B147" s="1">
        <v>78</v>
      </c>
      <c r="C147" s="1" t="s">
        <v>543</v>
      </c>
      <c r="D147" s="1" t="str">
        <f>PROPER(Table3[[#This Row],[Gender]])</f>
        <v>Female</v>
      </c>
      <c r="E147" s="1" t="s">
        <v>555</v>
      </c>
      <c r="F147" s="1" t="str">
        <f>PROPER(Table3[[#This Row],[Country_Region]])</f>
        <v>Russia</v>
      </c>
      <c r="G147" s="1">
        <v>2023</v>
      </c>
      <c r="H147" s="1">
        <v>8</v>
      </c>
      <c r="I147" s="1">
        <f>IF(H147="", AVERAGEIF('CLEANED DATASET'!$G$2:$G$532,G147,'CLEANED DATASET'!$H476),H147)</f>
        <v>8</v>
      </c>
      <c r="J147" s="1">
        <v>6.9</v>
      </c>
      <c r="K147" s="1">
        <f t="shared" si="18"/>
        <v>6.9</v>
      </c>
      <c r="L147" s="1">
        <v>7.6</v>
      </c>
      <c r="M147" s="1">
        <f t="shared" si="19"/>
        <v>7.6</v>
      </c>
      <c r="N147" s="1">
        <v>3.3</v>
      </c>
      <c r="O147" s="1">
        <f t="shared" si="20"/>
        <v>3.3</v>
      </c>
      <c r="P147" s="1">
        <v>4.0999999999999996</v>
      </c>
      <c r="Q147" s="1">
        <f t="shared" si="23"/>
        <v>4.0999999999999996</v>
      </c>
      <c r="R147" s="1" t="s">
        <v>578</v>
      </c>
      <c r="S147" s="1" t="str">
        <f>PROPER(Table3[[#This Row],[Cancer_Type]])</f>
        <v>Liver</v>
      </c>
      <c r="T147" s="1" t="s">
        <v>590</v>
      </c>
      <c r="U147" s="4">
        <v>27483.85</v>
      </c>
      <c r="V147" s="1">
        <v>5.3</v>
      </c>
      <c r="W147" s="1">
        <f t="shared" ca="1" si="21"/>
        <v>3</v>
      </c>
      <c r="X147" s="1">
        <v>6.3</v>
      </c>
      <c r="Y147" s="1" t="str">
        <f t="shared" si="22"/>
        <v>Stage III</v>
      </c>
      <c r="Z147" s="10">
        <f t="shared" si="24"/>
        <v>27483.85</v>
      </c>
    </row>
    <row r="148" spans="1:26">
      <c r="A148" s="1" t="s">
        <v>467</v>
      </c>
      <c r="B148" s="1">
        <v>61</v>
      </c>
      <c r="C148" s="1" t="s">
        <v>541</v>
      </c>
      <c r="D148" s="1" t="str">
        <f>PROPER(Table3[[#This Row],[Gender]])</f>
        <v>Other</v>
      </c>
      <c r="E148" s="1" t="s">
        <v>554</v>
      </c>
      <c r="F148" s="1" t="str">
        <f>PROPER(Table3[[#This Row],[Country_Region]])</f>
        <v>Brazil</v>
      </c>
      <c r="G148" s="1">
        <v>2022</v>
      </c>
      <c r="H148" s="1">
        <v>9</v>
      </c>
      <c r="I148" s="1">
        <f>IF(H148="", AVERAGEIF('CLEANED DATASET'!$G$2:$G$532,G148,'CLEANED DATASET'!$H459),H148)</f>
        <v>9</v>
      </c>
      <c r="J148" s="1">
        <v>9.1999999999999993</v>
      </c>
      <c r="K148" s="1">
        <f t="shared" si="18"/>
        <v>9.1999999999999993</v>
      </c>
      <c r="L148" s="1">
        <v>1.3</v>
      </c>
      <c r="M148" s="1">
        <f t="shared" si="19"/>
        <v>1.3</v>
      </c>
      <c r="N148" s="1">
        <v>0.8</v>
      </c>
      <c r="O148" s="1">
        <f t="shared" si="20"/>
        <v>0.8</v>
      </c>
      <c r="P148" s="1">
        <v>4</v>
      </c>
      <c r="Q148" s="1">
        <f t="shared" si="23"/>
        <v>4</v>
      </c>
      <c r="R148" s="1" t="s">
        <v>572</v>
      </c>
      <c r="S148" s="1" t="str">
        <f>PROPER(Table3[[#This Row],[Cancer_Type]])</f>
        <v>Leukemia</v>
      </c>
      <c r="T148" s="1" t="s">
        <v>594</v>
      </c>
      <c r="U148" s="4">
        <v>30098.43</v>
      </c>
      <c r="V148" s="1">
        <v>1.9</v>
      </c>
      <c r="W148" s="1">
        <f t="shared" ca="1" si="21"/>
        <v>6</v>
      </c>
      <c r="X148" s="1">
        <v>5.33</v>
      </c>
      <c r="Y148" s="1" t="str">
        <f t="shared" si="22"/>
        <v>Stage II</v>
      </c>
      <c r="Z148" s="10">
        <f t="shared" si="24"/>
        <v>30098.43</v>
      </c>
    </row>
    <row r="149" spans="1:26">
      <c r="A149" s="1" t="s">
        <v>516</v>
      </c>
      <c r="B149" s="1">
        <v>62</v>
      </c>
      <c r="C149" s="1" t="s">
        <v>542</v>
      </c>
      <c r="D149" s="1" t="str">
        <f>PROPER(Table3[[#This Row],[Gender]])</f>
        <v>Male</v>
      </c>
      <c r="E149" s="1" t="s">
        <v>548</v>
      </c>
      <c r="F149" s="1" t="str">
        <f>PROPER(Table3[[#This Row],[Country_Region]])</f>
        <v>Uk</v>
      </c>
      <c r="G149" s="1">
        <v>2022</v>
      </c>
      <c r="H149" s="1">
        <v>6.5</v>
      </c>
      <c r="I149" s="1">
        <f>IF(H149="", AVERAGEIF('CLEANED DATASET'!$G$2:$G$532,G149,'CLEANED DATASET'!$H508),H149)</f>
        <v>6.5</v>
      </c>
      <c r="J149" s="1">
        <v>6.6</v>
      </c>
      <c r="K149" s="1">
        <f t="shared" si="18"/>
        <v>6.6</v>
      </c>
      <c r="L149" s="1">
        <v>7.4</v>
      </c>
      <c r="M149" s="1">
        <f t="shared" si="19"/>
        <v>7.4</v>
      </c>
      <c r="N149" s="1">
        <v>3.6</v>
      </c>
      <c r="O149" s="1">
        <f t="shared" si="20"/>
        <v>3.6</v>
      </c>
      <c r="P149" s="1">
        <v>9.6</v>
      </c>
      <c r="Q149" s="1">
        <f t="shared" si="23"/>
        <v>9.6</v>
      </c>
      <c r="R149" s="1" t="s">
        <v>571</v>
      </c>
      <c r="S149" s="1" t="str">
        <f>PROPER(Table3[[#This Row],[Cancer_Type]])</f>
        <v>Lung</v>
      </c>
      <c r="T149" s="1" t="s">
        <v>592</v>
      </c>
      <c r="U149" s="4">
        <v>50197.81</v>
      </c>
      <c r="V149" s="1">
        <v>9.6</v>
      </c>
      <c r="W149" s="1">
        <f t="shared" ca="1" si="21"/>
        <v>2</v>
      </c>
      <c r="X149" s="3">
        <f>ROUND(I149+K149+M149+O149+Q149+(10-V149)/6, 2)</f>
        <v>33.770000000000003</v>
      </c>
      <c r="Y149" s="1" t="str">
        <f t="shared" si="22"/>
        <v>Stage IV</v>
      </c>
      <c r="Z149" s="10">
        <f t="shared" si="24"/>
        <v>50197.81</v>
      </c>
    </row>
    <row r="150" spans="1:26">
      <c r="A150" s="1" t="s">
        <v>383</v>
      </c>
      <c r="B150" s="1">
        <v>43</v>
      </c>
      <c r="C150" s="1" t="s">
        <v>541</v>
      </c>
      <c r="D150" s="1" t="str">
        <f>PROPER(Table3[[#This Row],[Gender]])</f>
        <v>Other</v>
      </c>
      <c r="E150" s="1" t="s">
        <v>548</v>
      </c>
      <c r="F150" s="1" t="str">
        <f>PROPER(Table3[[#This Row],[Country_Region]])</f>
        <v>Uk</v>
      </c>
      <c r="G150" s="1">
        <v>2023</v>
      </c>
      <c r="H150" s="1">
        <v>0</v>
      </c>
      <c r="I150" s="1">
        <f>IF(H150="", AVERAGEIF('CLEANED DATASET'!$G$2:$G$532,G150,'CLEANED DATASET'!$H375),H150)</f>
        <v>0</v>
      </c>
      <c r="J150" s="1">
        <v>2.2999999999999998</v>
      </c>
      <c r="K150" s="1">
        <f t="shared" si="18"/>
        <v>2.2999999999999998</v>
      </c>
      <c r="L150" s="1">
        <v>7.3</v>
      </c>
      <c r="M150" s="1">
        <f t="shared" si="19"/>
        <v>7.3</v>
      </c>
      <c r="N150" s="1">
        <v>5.3</v>
      </c>
      <c r="O150" s="1">
        <f t="shared" si="20"/>
        <v>5.3</v>
      </c>
      <c r="P150" s="1">
        <v>5</v>
      </c>
      <c r="Q150" s="1">
        <f t="shared" si="23"/>
        <v>5</v>
      </c>
      <c r="R150" s="1" t="s">
        <v>571</v>
      </c>
      <c r="S150" s="1" t="str">
        <f>PROPER(Table3[[#This Row],[Cancer_Type]])</f>
        <v>Lung</v>
      </c>
      <c r="T150" s="1" t="s">
        <v>591</v>
      </c>
      <c r="U150" s="4">
        <v>46507.7</v>
      </c>
      <c r="V150" s="1">
        <v>9.1</v>
      </c>
      <c r="W150" s="1">
        <f t="shared" ca="1" si="21"/>
        <v>6</v>
      </c>
      <c r="X150" s="1">
        <v>4.07</v>
      </c>
      <c r="Y150" s="1" t="str">
        <f t="shared" si="22"/>
        <v>Stage II</v>
      </c>
      <c r="Z150" s="10">
        <f t="shared" si="24"/>
        <v>46507.7</v>
      </c>
    </row>
    <row r="151" spans="1:26">
      <c r="A151" s="1" t="s">
        <v>501</v>
      </c>
      <c r="B151" s="1">
        <v>82</v>
      </c>
      <c r="C151" s="1" t="s">
        <v>543</v>
      </c>
      <c r="D151" s="1" t="str">
        <f>PROPER(Table3[[#This Row],[Gender]])</f>
        <v>Female</v>
      </c>
      <c r="E151" s="1" t="s">
        <v>549</v>
      </c>
      <c r="F151" s="1" t="str">
        <f>PROPER(Table3[[#This Row],[Country_Region]])</f>
        <v>Australia</v>
      </c>
      <c r="G151" s="1">
        <v>2024</v>
      </c>
      <c r="H151" s="1">
        <v>8.1999999999999993</v>
      </c>
      <c r="I151" s="1">
        <f>IF(H151="", AVERAGEIF('CLEANED DATASET'!$G$2:$G$532,G151,'CLEANED DATASET'!$H493),H151)</f>
        <v>8.1999999999999993</v>
      </c>
      <c r="J151" s="1">
        <v>8.3000000000000007</v>
      </c>
      <c r="K151" s="1">
        <f t="shared" si="18"/>
        <v>8.3000000000000007</v>
      </c>
      <c r="L151" s="1">
        <v>4.0999999999999996</v>
      </c>
      <c r="M151" s="1">
        <f t="shared" si="19"/>
        <v>4.0999999999999996</v>
      </c>
      <c r="N151" s="1">
        <v>9.5</v>
      </c>
      <c r="O151" s="1">
        <f t="shared" si="20"/>
        <v>9.5</v>
      </c>
      <c r="P151" s="1">
        <v>1.7</v>
      </c>
      <c r="Q151" s="1">
        <f t="shared" si="23"/>
        <v>1.7</v>
      </c>
      <c r="R151" s="1" t="s">
        <v>571</v>
      </c>
      <c r="S151" s="1" t="str">
        <f>PROPER(Table3[[#This Row],[Cancer_Type]])</f>
        <v>Lung</v>
      </c>
      <c r="T151" s="1"/>
      <c r="U151" s="4">
        <v>42444.57</v>
      </c>
      <c r="V151" s="1">
        <v>10</v>
      </c>
      <c r="W151" s="1">
        <f t="shared" ca="1" si="21"/>
        <v>3</v>
      </c>
      <c r="X151" s="1">
        <v>6.72</v>
      </c>
      <c r="Y151" s="1" t="str">
        <f t="shared" si="22"/>
        <v>Stage III</v>
      </c>
      <c r="Z151" s="10">
        <f t="shared" si="24"/>
        <v>42444.57</v>
      </c>
    </row>
    <row r="152" spans="1:26">
      <c r="A152" s="1" t="s">
        <v>164</v>
      </c>
      <c r="B152" s="1">
        <v>62</v>
      </c>
      <c r="C152" s="1" t="s">
        <v>542</v>
      </c>
      <c r="D152" s="1" t="str">
        <f>PROPER(Table3[[#This Row],[Gender]])</f>
        <v>Male</v>
      </c>
      <c r="E152" s="1" t="s">
        <v>560</v>
      </c>
      <c r="F152" s="1" t="str">
        <f>PROPER(Table3[[#This Row],[Country_Region]])</f>
        <v>Usa</v>
      </c>
      <c r="G152" s="1">
        <v>2023</v>
      </c>
      <c r="H152" s="1">
        <v>4.2</v>
      </c>
      <c r="I152" s="1">
        <f>IF(H152="", AVERAGEIF('CLEANED DATASET'!$G$2:$G$532,G152,'CLEANED DATASET'!$H156),H152)</f>
        <v>4.2</v>
      </c>
      <c r="J152" s="1">
        <v>1.6</v>
      </c>
      <c r="K152" s="1">
        <f t="shared" si="18"/>
        <v>1.6</v>
      </c>
      <c r="L152" s="1">
        <v>0.7</v>
      </c>
      <c r="M152" s="1">
        <f t="shared" si="19"/>
        <v>0.7</v>
      </c>
      <c r="N152" s="1"/>
      <c r="O152" s="3">
        <f t="shared" si="20"/>
        <v>4.5571428571428578</v>
      </c>
      <c r="P152" s="1">
        <v>8.1999999999999993</v>
      </c>
      <c r="Q152" s="1">
        <f t="shared" si="23"/>
        <v>8.1999999999999993</v>
      </c>
      <c r="R152" s="1" t="s">
        <v>570</v>
      </c>
      <c r="S152" s="1" t="str">
        <f>PROPER(Table3[[#This Row],[Cancer_Type]])</f>
        <v>Skin</v>
      </c>
      <c r="T152" s="1" t="s">
        <v>592</v>
      </c>
      <c r="U152" s="4">
        <v>64518.14</v>
      </c>
      <c r="V152" s="1">
        <v>6.6</v>
      </c>
      <c r="W152" s="1">
        <f t="shared" ca="1" si="21"/>
        <v>7</v>
      </c>
      <c r="X152" s="1">
        <v>3.27</v>
      </c>
      <c r="Y152" s="1" t="str">
        <f t="shared" si="22"/>
        <v>Stage I</v>
      </c>
      <c r="Z152" s="10">
        <f t="shared" si="24"/>
        <v>64518.14</v>
      </c>
    </row>
    <row r="153" spans="1:26">
      <c r="A153" s="1" t="s">
        <v>254</v>
      </c>
      <c r="B153" s="1">
        <v>61</v>
      </c>
      <c r="C153" s="1" t="s">
        <v>545</v>
      </c>
      <c r="D153" s="1" t="str">
        <f>PROPER(Table3[[#This Row],[Gender]])</f>
        <v>Male</v>
      </c>
      <c r="E153" s="1" t="s">
        <v>555</v>
      </c>
      <c r="F153" s="1" t="str">
        <f>PROPER(Table3[[#This Row],[Country_Region]])</f>
        <v>Russia</v>
      </c>
      <c r="G153" s="1">
        <v>2024</v>
      </c>
      <c r="H153" s="1">
        <v>1.8</v>
      </c>
      <c r="I153" s="1">
        <f>IF(H153="", AVERAGEIF('CLEANED DATASET'!$G$2:$G$532,G153,'CLEANED DATASET'!$H246),H153)</f>
        <v>1.8</v>
      </c>
      <c r="J153" s="1">
        <v>9</v>
      </c>
      <c r="K153" s="1">
        <f t="shared" si="18"/>
        <v>9</v>
      </c>
      <c r="L153" s="1">
        <v>8</v>
      </c>
      <c r="M153" s="1">
        <f t="shared" si="19"/>
        <v>8</v>
      </c>
      <c r="N153" s="1">
        <v>3.2</v>
      </c>
      <c r="O153" s="1">
        <f t="shared" si="20"/>
        <v>3.2</v>
      </c>
      <c r="P153" s="1">
        <v>4.7</v>
      </c>
      <c r="Q153" s="1">
        <f t="shared" si="23"/>
        <v>4.7</v>
      </c>
      <c r="R153" s="1" t="s">
        <v>573</v>
      </c>
      <c r="S153" s="1" t="str">
        <f>PROPER(Table3[[#This Row],[Cancer_Type]])</f>
        <v>Breast</v>
      </c>
      <c r="T153" s="1" t="s">
        <v>594</v>
      </c>
      <c r="U153" s="4">
        <v>18314.259999999998</v>
      </c>
      <c r="V153" s="1">
        <v>6.5</v>
      </c>
      <c r="W153" s="1">
        <f t="shared" ca="1" si="21"/>
        <v>6</v>
      </c>
      <c r="X153" s="1">
        <v>5.65</v>
      </c>
      <c r="Y153" s="1" t="str">
        <f t="shared" si="22"/>
        <v>Stage II</v>
      </c>
      <c r="Z153" s="10">
        <f t="shared" si="24"/>
        <v>18314.259999999998</v>
      </c>
    </row>
    <row r="154" spans="1:26">
      <c r="A154" s="1" t="s">
        <v>397</v>
      </c>
      <c r="B154" s="1">
        <v>39</v>
      </c>
      <c r="C154" s="1" t="s">
        <v>543</v>
      </c>
      <c r="D154" s="1" t="str">
        <f>PROPER(Table3[[#This Row],[Gender]])</f>
        <v>Female</v>
      </c>
      <c r="E154" s="1" t="s">
        <v>549</v>
      </c>
      <c r="F154" s="1" t="str">
        <f>PROPER(Table3[[#This Row],[Country_Region]])</f>
        <v>Australia</v>
      </c>
      <c r="G154" s="1">
        <v>2022</v>
      </c>
      <c r="H154" s="1">
        <v>9.9</v>
      </c>
      <c r="I154" s="1">
        <f>IF(H154="", AVERAGEIF('CLEANED DATASET'!$G$2:$G$532,G154,'CLEANED DATASET'!$H389),H154)</f>
        <v>9.9</v>
      </c>
      <c r="J154" s="1">
        <v>5.2</v>
      </c>
      <c r="K154" s="1">
        <f t="shared" si="18"/>
        <v>5.2</v>
      </c>
      <c r="L154" s="1">
        <v>4.3</v>
      </c>
      <c r="M154" s="1">
        <f t="shared" si="19"/>
        <v>4.3</v>
      </c>
      <c r="N154" s="1">
        <v>4</v>
      </c>
      <c r="O154" s="1">
        <f t="shared" si="20"/>
        <v>4</v>
      </c>
      <c r="P154" s="1">
        <v>5.4</v>
      </c>
      <c r="Q154" s="1">
        <f t="shared" si="23"/>
        <v>5.4</v>
      </c>
      <c r="R154" s="1" t="s">
        <v>603</v>
      </c>
      <c r="S154" s="1" t="str">
        <f>PROPER(Table3[[#This Row],[Cancer_Type]])</f>
        <v>Unknown</v>
      </c>
      <c r="T154" s="1" t="s">
        <v>594</v>
      </c>
      <c r="U154" s="4">
        <v>99283.8</v>
      </c>
      <c r="V154" s="1">
        <v>5.5</v>
      </c>
      <c r="W154" s="1">
        <f t="shared" ca="1" si="21"/>
        <v>5</v>
      </c>
      <c r="X154" s="1">
        <v>4.76</v>
      </c>
      <c r="Y154" s="1" t="str">
        <f t="shared" si="22"/>
        <v>Stage II</v>
      </c>
      <c r="Z154" s="10">
        <f t="shared" si="24"/>
        <v>99283.8</v>
      </c>
    </row>
    <row r="155" spans="1:26">
      <c r="A155" s="1" t="s">
        <v>526</v>
      </c>
      <c r="B155" s="1">
        <v>28</v>
      </c>
      <c r="C155" s="1" t="s">
        <v>546</v>
      </c>
      <c r="D155" s="1" t="str">
        <f>PROPER(Table3[[#This Row],[Gender]])</f>
        <v>Unknown</v>
      </c>
      <c r="E155" s="1" t="s">
        <v>549</v>
      </c>
      <c r="F155" s="1" t="str">
        <f>PROPER(Table3[[#This Row],[Country_Region]])</f>
        <v>Australia</v>
      </c>
      <c r="G155" s="1">
        <v>2024</v>
      </c>
      <c r="H155" s="1">
        <v>4.5</v>
      </c>
      <c r="I155" s="1">
        <f>IF(H155="", AVERAGEIF('CLEANED DATASET'!$G$2:$G$532,G155,'CLEANED DATASET'!$H518),H155)</f>
        <v>4.5</v>
      </c>
      <c r="J155" s="1">
        <v>3.7</v>
      </c>
      <c r="K155" s="1">
        <f t="shared" si="18"/>
        <v>3.7</v>
      </c>
      <c r="L155" s="1">
        <v>1.4</v>
      </c>
      <c r="M155" s="1">
        <f t="shared" si="19"/>
        <v>1.4</v>
      </c>
      <c r="N155" s="1">
        <v>7</v>
      </c>
      <c r="O155" s="1">
        <f t="shared" si="20"/>
        <v>7</v>
      </c>
      <c r="P155" s="1">
        <v>7.7</v>
      </c>
      <c r="Q155" s="1">
        <f t="shared" si="23"/>
        <v>7.7</v>
      </c>
      <c r="R155" s="1" t="s">
        <v>570</v>
      </c>
      <c r="S155" s="1" t="str">
        <f>PROPER(Table3[[#This Row],[Cancer_Type]])</f>
        <v>Skin</v>
      </c>
      <c r="T155" s="1" t="s">
        <v>590</v>
      </c>
      <c r="U155" s="4">
        <v>45451.47</v>
      </c>
      <c r="V155" s="1">
        <v>7.9</v>
      </c>
      <c r="W155" s="1">
        <f t="shared" ca="1" si="21"/>
        <v>5</v>
      </c>
      <c r="X155" s="1">
        <v>4.93</v>
      </c>
      <c r="Y155" s="1" t="str">
        <f t="shared" si="22"/>
        <v>Stage II</v>
      </c>
      <c r="Z155" s="10">
        <f t="shared" si="24"/>
        <v>45451.47</v>
      </c>
    </row>
    <row r="156" spans="1:26">
      <c r="A156" s="1" t="s">
        <v>498</v>
      </c>
      <c r="B156" s="1">
        <v>63</v>
      </c>
      <c r="C156" s="1" t="s">
        <v>542</v>
      </c>
      <c r="D156" s="1" t="str">
        <f>PROPER(Table3[[#This Row],[Gender]])</f>
        <v>Male</v>
      </c>
      <c r="E156" s="1" t="s">
        <v>550</v>
      </c>
      <c r="F156" s="1" t="str">
        <f>PROPER(Table3[[#This Row],[Country_Region]])</f>
        <v>Pakistan</v>
      </c>
      <c r="G156" s="1">
        <v>2024</v>
      </c>
      <c r="H156" s="1">
        <v>3.2</v>
      </c>
      <c r="I156" s="1">
        <f>IF(H156="", AVERAGEIF('CLEANED DATASET'!$G$2:$G$532,G156,'CLEANED DATASET'!$H490),H156)</f>
        <v>3.2</v>
      </c>
      <c r="J156" s="1">
        <v>5.6</v>
      </c>
      <c r="K156" s="1">
        <f t="shared" si="18"/>
        <v>5.6</v>
      </c>
      <c r="L156" s="1">
        <v>7.2</v>
      </c>
      <c r="M156" s="1">
        <f t="shared" si="19"/>
        <v>7.2</v>
      </c>
      <c r="N156" s="1">
        <v>2.2999999999999998</v>
      </c>
      <c r="O156" s="1">
        <f t="shared" si="20"/>
        <v>2.2999999999999998</v>
      </c>
      <c r="P156" s="1">
        <v>4.0999999999999996</v>
      </c>
      <c r="Q156" s="1">
        <f t="shared" si="23"/>
        <v>4.0999999999999996</v>
      </c>
      <c r="R156" s="1" t="s">
        <v>570</v>
      </c>
      <c r="S156" s="1" t="str">
        <f>PROPER(Table3[[#This Row],[Cancer_Type]])</f>
        <v>Skin</v>
      </c>
      <c r="T156" s="1" t="s">
        <v>593</v>
      </c>
      <c r="U156" s="4">
        <v>11727.34</v>
      </c>
      <c r="V156" s="1">
        <v>5.3</v>
      </c>
      <c r="W156" s="1">
        <f t="shared" ca="1" si="21"/>
        <v>5</v>
      </c>
      <c r="X156" s="1">
        <v>5.2</v>
      </c>
      <c r="Y156" s="1" t="str">
        <f t="shared" si="22"/>
        <v>Stage II</v>
      </c>
      <c r="Z156" s="10">
        <f t="shared" si="24"/>
        <v>11727.34</v>
      </c>
    </row>
    <row r="157" spans="1:26">
      <c r="A157" s="1" t="s">
        <v>618</v>
      </c>
      <c r="B157" s="1">
        <v>89</v>
      </c>
      <c r="C157" s="1" t="s">
        <v>541</v>
      </c>
      <c r="D157" s="1" t="str">
        <f>PROPER(Table3[[#This Row],[Gender]])</f>
        <v>Other</v>
      </c>
      <c r="E157" s="1" t="s">
        <v>554</v>
      </c>
      <c r="F157" s="1" t="str">
        <f>PROPER(Table3[[#This Row],[Country_Region]])</f>
        <v>Brazil</v>
      </c>
      <c r="G157" s="1">
        <v>2023</v>
      </c>
      <c r="H157" s="1">
        <v>3.9</v>
      </c>
      <c r="I157" s="1">
        <f>IF(H157="", AVERAGEIF('CLEANED DATASET'!$G$2:$G$532,G157,'CLEANED DATASET'!$H2),H157)</f>
        <v>3.9</v>
      </c>
      <c r="J157" s="1"/>
      <c r="K157" s="1">
        <f t="shared" si="18"/>
        <v>4.4000000000000004</v>
      </c>
      <c r="L157" s="1">
        <v>3.8</v>
      </c>
      <c r="M157" s="1">
        <f t="shared" si="19"/>
        <v>3.8</v>
      </c>
      <c r="N157" s="1">
        <v>7.6</v>
      </c>
      <c r="O157" s="1">
        <f t="shared" si="20"/>
        <v>7.6</v>
      </c>
      <c r="P157" s="1">
        <v>1.9</v>
      </c>
      <c r="Q157" s="1">
        <f t="shared" si="23"/>
        <v>1.9</v>
      </c>
      <c r="R157" s="1" t="s">
        <v>570</v>
      </c>
      <c r="S157" s="1" t="str">
        <f>PROPER(Table3[[#This Row],[Cancer_Type]])</f>
        <v>Skin</v>
      </c>
      <c r="T157" s="1" t="s">
        <v>590</v>
      </c>
      <c r="U157" s="4">
        <v>46685.3</v>
      </c>
      <c r="V157" s="1">
        <v>6.8</v>
      </c>
      <c r="W157" s="1">
        <f t="shared" ca="1" si="21"/>
        <v>6</v>
      </c>
      <c r="X157" s="1">
        <v>4.95</v>
      </c>
      <c r="Y157" s="1" t="str">
        <f t="shared" si="22"/>
        <v>Stage II</v>
      </c>
      <c r="Z157" s="9">
        <f t="shared" si="24"/>
        <v>46685.3</v>
      </c>
    </row>
    <row r="158" spans="1:26">
      <c r="A158" s="1" t="s">
        <v>294</v>
      </c>
      <c r="B158" s="1">
        <v>77</v>
      </c>
      <c r="C158" s="1" t="s">
        <v>542</v>
      </c>
      <c r="D158" s="1" t="str">
        <f>PROPER(Table3[[#This Row],[Gender]])</f>
        <v>Male</v>
      </c>
      <c r="E158" s="1" t="s">
        <v>555</v>
      </c>
      <c r="F158" s="1" t="str">
        <f>PROPER(Table3[[#This Row],[Country_Region]])</f>
        <v>Russia</v>
      </c>
      <c r="G158" s="1">
        <v>2024</v>
      </c>
      <c r="H158" s="1">
        <v>6.7</v>
      </c>
      <c r="I158" s="1">
        <f>IF(H158="", AVERAGEIF('CLEANED DATASET'!$G$2:$G$532,G158,'CLEANED DATASET'!$H286),H158)</f>
        <v>6.7</v>
      </c>
      <c r="J158" s="1">
        <v>5.2</v>
      </c>
      <c r="K158" s="1">
        <f t="shared" si="18"/>
        <v>5.2</v>
      </c>
      <c r="L158" s="1">
        <v>2.7</v>
      </c>
      <c r="M158" s="1">
        <f t="shared" si="19"/>
        <v>2.7</v>
      </c>
      <c r="N158" s="1">
        <v>2.1</v>
      </c>
      <c r="O158" s="1">
        <f t="shared" si="20"/>
        <v>2.1</v>
      </c>
      <c r="P158" s="1">
        <v>3.8</v>
      </c>
      <c r="Q158" s="1">
        <f t="shared" si="23"/>
        <v>3.8</v>
      </c>
      <c r="R158" s="1" t="s">
        <v>572</v>
      </c>
      <c r="S158" s="1" t="str">
        <f>PROPER(Table3[[#This Row],[Cancer_Type]])</f>
        <v>Leukemia</v>
      </c>
      <c r="T158" s="1" t="s">
        <v>590</v>
      </c>
      <c r="U158" s="4">
        <v>95826.92</v>
      </c>
      <c r="V158" s="1">
        <v>7.4</v>
      </c>
      <c r="W158" s="1">
        <f t="shared" ca="1" si="21"/>
        <v>8</v>
      </c>
      <c r="X158" s="1">
        <v>3.41</v>
      </c>
      <c r="Y158" s="1" t="str">
        <f t="shared" si="22"/>
        <v>Stage I</v>
      </c>
      <c r="Z158" s="10">
        <f t="shared" si="24"/>
        <v>95826.92</v>
      </c>
    </row>
    <row r="159" spans="1:26">
      <c r="A159" s="1" t="s">
        <v>94</v>
      </c>
      <c r="B159" s="1">
        <v>71</v>
      </c>
      <c r="C159" s="1" t="s">
        <v>543</v>
      </c>
      <c r="D159" s="1" t="str">
        <f>PROPER(Table3[[#This Row],[Gender]])</f>
        <v>Female</v>
      </c>
      <c r="E159" s="1" t="s">
        <v>636</v>
      </c>
      <c r="F159" s="1" t="str">
        <f>PROPER(Table3[[#This Row],[Country_Region]])</f>
        <v>Germany</v>
      </c>
      <c r="G159" s="1">
        <v>2022</v>
      </c>
      <c r="H159" s="1">
        <v>4.0999999999999996</v>
      </c>
      <c r="I159" s="1">
        <f>IF(H159="", AVERAGEIF('CLEANED DATASET'!$G$2:$G$532,G159,'CLEANED DATASET'!$H86),H159)</f>
        <v>4.0999999999999996</v>
      </c>
      <c r="J159" s="1">
        <v>5.5</v>
      </c>
      <c r="K159" s="1">
        <f t="shared" si="18"/>
        <v>5.5</v>
      </c>
      <c r="L159" s="1">
        <v>8.6999999999999993</v>
      </c>
      <c r="M159" s="1">
        <f t="shared" si="19"/>
        <v>8.6999999999999993</v>
      </c>
      <c r="N159" s="1">
        <v>0.9</v>
      </c>
      <c r="O159" s="1">
        <f t="shared" si="20"/>
        <v>0.9</v>
      </c>
      <c r="P159" s="1">
        <v>7.4</v>
      </c>
      <c r="Q159" s="1">
        <f t="shared" si="23"/>
        <v>7.4</v>
      </c>
      <c r="R159" s="1" t="s">
        <v>581</v>
      </c>
      <c r="S159" s="1" t="str">
        <f>PROPER(Table3[[#This Row],[Cancer_Type]])</f>
        <v>Breast</v>
      </c>
      <c r="T159" s="1" t="s">
        <v>594</v>
      </c>
      <c r="U159" s="4">
        <v>26259.96</v>
      </c>
      <c r="V159" s="1">
        <v>5.3</v>
      </c>
      <c r="W159" s="1">
        <f t="shared" ca="1" si="21"/>
        <v>5</v>
      </c>
      <c r="X159" s="1">
        <v>5.34</v>
      </c>
      <c r="Y159" s="1" t="str">
        <f t="shared" si="22"/>
        <v>Stage II</v>
      </c>
      <c r="Z159" s="10">
        <f t="shared" si="24"/>
        <v>26259.96</v>
      </c>
    </row>
    <row r="160" spans="1:26">
      <c r="A160" s="1" t="s">
        <v>160</v>
      </c>
      <c r="B160" s="1">
        <v>44</v>
      </c>
      <c r="C160" s="1" t="s">
        <v>543</v>
      </c>
      <c r="D160" s="1" t="str">
        <f>PROPER(Table3[[#This Row],[Gender]])</f>
        <v>Female</v>
      </c>
      <c r="E160" s="1" t="s">
        <v>555</v>
      </c>
      <c r="F160" s="1" t="str">
        <f>PROPER(Table3[[#This Row],[Country_Region]])</f>
        <v>Russia</v>
      </c>
      <c r="G160" s="1">
        <v>2024</v>
      </c>
      <c r="H160" s="1">
        <v>7.1</v>
      </c>
      <c r="I160" s="1">
        <f>IF(H160="", AVERAGEIF('CLEANED DATASET'!$G$2:$G$532,G160,'CLEANED DATASET'!$H152),H160)</f>
        <v>7.1</v>
      </c>
      <c r="J160" s="1">
        <v>0.9</v>
      </c>
      <c r="K160" s="1">
        <f t="shared" si="18"/>
        <v>0.9</v>
      </c>
      <c r="L160" s="1">
        <v>0.5</v>
      </c>
      <c r="M160" s="1">
        <f t="shared" si="19"/>
        <v>0.5</v>
      </c>
      <c r="N160" s="1">
        <v>9.4</v>
      </c>
      <c r="O160" s="1">
        <f t="shared" si="20"/>
        <v>9.4</v>
      </c>
      <c r="P160" s="1">
        <v>-1</v>
      </c>
      <c r="Q160" s="3">
        <v>1</v>
      </c>
      <c r="R160" s="1" t="s">
        <v>579</v>
      </c>
      <c r="S160" s="1" t="str">
        <f>PROPER(Table3[[#This Row],[Cancer_Type]])</f>
        <v>Prostate</v>
      </c>
      <c r="T160" s="1" t="s">
        <v>593</v>
      </c>
      <c r="U160" s="4">
        <v>27511.3</v>
      </c>
      <c r="V160" s="1">
        <v>4.7</v>
      </c>
      <c r="W160" s="1">
        <f t="shared" ca="1" si="21"/>
        <v>6</v>
      </c>
      <c r="X160" s="1">
        <v>5.47</v>
      </c>
      <c r="Y160" s="1" t="str">
        <f t="shared" si="22"/>
        <v>Stage II</v>
      </c>
      <c r="Z160" s="10">
        <f t="shared" si="24"/>
        <v>27511.3</v>
      </c>
    </row>
    <row r="161" spans="1:26">
      <c r="A161" s="1" t="s">
        <v>25</v>
      </c>
      <c r="B161" s="1">
        <v>43</v>
      </c>
      <c r="C161" s="1" t="s">
        <v>542</v>
      </c>
      <c r="D161" s="1" t="str">
        <f>PROPER(Table3[[#This Row],[Gender]])</f>
        <v>Male</v>
      </c>
      <c r="E161" s="1" t="s">
        <v>555</v>
      </c>
      <c r="F161" s="1" t="str">
        <f>PROPER(Table3[[#This Row],[Country_Region]])</f>
        <v>Russia</v>
      </c>
      <c r="G161" s="1">
        <v>2024</v>
      </c>
      <c r="H161" s="1">
        <v>4.3</v>
      </c>
      <c r="I161" s="1">
        <f>IF(H161="", AVERAGEIF('CLEANED DATASET'!$G$2:$G$532,G161,'CLEANED DATASET'!$H17),H161)</f>
        <v>4.3</v>
      </c>
      <c r="J161" s="1">
        <v>5.7</v>
      </c>
      <c r="K161" s="1">
        <f t="shared" si="18"/>
        <v>5.7</v>
      </c>
      <c r="L161" s="1">
        <v>3.7</v>
      </c>
      <c r="M161" s="1">
        <f t="shared" si="19"/>
        <v>3.7</v>
      </c>
      <c r="N161" s="1">
        <v>7.8</v>
      </c>
      <c r="O161" s="1">
        <f t="shared" si="20"/>
        <v>7.8</v>
      </c>
      <c r="P161" s="1">
        <v>7.4</v>
      </c>
      <c r="Q161" s="1">
        <f t="shared" ref="Q161:Q224" si="25">IF(P161="",AVERAGEIF(G161:G691,G161,P161:P691),P161)</f>
        <v>7.4</v>
      </c>
      <c r="R161" s="1" t="s">
        <v>576</v>
      </c>
      <c r="S161" s="1" t="str">
        <f>PROPER(Table3[[#This Row],[Cancer_Type]])</f>
        <v>Cervical</v>
      </c>
      <c r="T161" s="1" t="s">
        <v>594</v>
      </c>
      <c r="U161" s="4">
        <v>38916.720000000001</v>
      </c>
      <c r="V161" s="1">
        <v>7.5</v>
      </c>
      <c r="W161" s="1">
        <f t="shared" ca="1" si="21"/>
        <v>6</v>
      </c>
      <c r="X161" s="1">
        <v>5.79</v>
      </c>
      <c r="Y161" s="1" t="str">
        <f t="shared" si="22"/>
        <v>Stage II</v>
      </c>
      <c r="Z161" s="10">
        <f t="shared" si="24"/>
        <v>38916.720000000001</v>
      </c>
    </row>
    <row r="162" spans="1:26">
      <c r="A162" s="1" t="s">
        <v>13</v>
      </c>
      <c r="B162" s="1">
        <v>37</v>
      </c>
      <c r="C162" s="1" t="s">
        <v>541</v>
      </c>
      <c r="D162" s="1" t="str">
        <f>PROPER(Table3[[#This Row],[Gender]])</f>
        <v>Other</v>
      </c>
      <c r="E162" s="1" t="s">
        <v>549</v>
      </c>
      <c r="F162" s="1" t="str">
        <f>PROPER(Table3[[#This Row],[Country_Region]])</f>
        <v>Australia</v>
      </c>
      <c r="G162" s="1">
        <v>2024</v>
      </c>
      <c r="H162" s="1">
        <v>4.3</v>
      </c>
      <c r="I162" s="1">
        <f>IF(H162="", AVERAGEIF('CLEANED DATASET'!$G$2:$G$532,G162,'CLEANED DATASET'!$H5),H162)</f>
        <v>4.3</v>
      </c>
      <c r="J162" s="1">
        <v>0.8</v>
      </c>
      <c r="K162" s="1">
        <f t="shared" si="18"/>
        <v>0.8</v>
      </c>
      <c r="L162" s="1">
        <v>6.3</v>
      </c>
      <c r="M162" s="1">
        <f t="shared" si="19"/>
        <v>6.3</v>
      </c>
      <c r="N162" s="1">
        <v>6.2</v>
      </c>
      <c r="O162" s="1">
        <f t="shared" si="20"/>
        <v>6.2</v>
      </c>
      <c r="P162" s="1">
        <v>8.9</v>
      </c>
      <c r="Q162" s="1">
        <f t="shared" si="25"/>
        <v>8.9</v>
      </c>
      <c r="R162" s="1" t="s">
        <v>573</v>
      </c>
      <c r="S162" s="1" t="str">
        <f>PROPER(Table3[[#This Row],[Cancer_Type]])</f>
        <v>Breast</v>
      </c>
      <c r="T162" s="1" t="s">
        <v>590</v>
      </c>
      <c r="U162" s="4">
        <v>20268.05</v>
      </c>
      <c r="V162" s="1">
        <v>5.5</v>
      </c>
      <c r="W162" s="1">
        <f t="shared" ca="1" si="21"/>
        <v>1</v>
      </c>
      <c r="X162" s="3">
        <f>ROUND(I162+K162+M162+O162+Q162+(10-V162)/6, 2)</f>
        <v>27.25</v>
      </c>
      <c r="Y162" s="1" t="str">
        <f t="shared" si="22"/>
        <v>Stage IV</v>
      </c>
      <c r="Z162" s="10">
        <f t="shared" si="24"/>
        <v>20268.05</v>
      </c>
    </row>
    <row r="163" spans="1:26">
      <c r="A163" s="1" t="s">
        <v>48</v>
      </c>
      <c r="B163" s="1">
        <v>23</v>
      </c>
      <c r="C163" s="1" t="s">
        <v>541</v>
      </c>
      <c r="D163" s="1" t="str">
        <f>PROPER(Table3[[#This Row],[Gender]])</f>
        <v>Other</v>
      </c>
      <c r="E163" s="1" t="s">
        <v>549</v>
      </c>
      <c r="F163" s="1" t="str">
        <f>PROPER(Table3[[#This Row],[Country_Region]])</f>
        <v>Australia</v>
      </c>
      <c r="G163" s="1">
        <v>2022</v>
      </c>
      <c r="H163" s="1">
        <v>3.4</v>
      </c>
      <c r="I163" s="1">
        <f>IF(H163="", AVERAGEIF('CLEANED DATASET'!$G$2:$G$532,G163,'CLEANED DATASET'!$H40),H163)</f>
        <v>3.4</v>
      </c>
      <c r="J163" s="1">
        <v>8.1</v>
      </c>
      <c r="K163" s="1">
        <f t="shared" si="18"/>
        <v>8.1</v>
      </c>
      <c r="L163" s="1">
        <v>3.1</v>
      </c>
      <c r="M163" s="1">
        <f t="shared" si="19"/>
        <v>3.1</v>
      </c>
      <c r="N163" s="1">
        <v>10</v>
      </c>
      <c r="O163" s="1">
        <f t="shared" si="20"/>
        <v>10</v>
      </c>
      <c r="P163" s="1">
        <v>3.6</v>
      </c>
      <c r="Q163" s="1">
        <f t="shared" si="25"/>
        <v>3.6</v>
      </c>
      <c r="R163" s="1" t="s">
        <v>576</v>
      </c>
      <c r="S163" s="1" t="str">
        <f>PROPER(Table3[[#This Row],[Cancer_Type]])</f>
        <v>Cervical</v>
      </c>
      <c r="T163" s="1" t="s">
        <v>594</v>
      </c>
      <c r="U163" s="4">
        <v>44414.54</v>
      </c>
      <c r="V163" s="1">
        <v>6.6</v>
      </c>
      <c r="W163" s="1">
        <f t="shared" ca="1" si="21"/>
        <v>6</v>
      </c>
      <c r="X163" s="1">
        <v>5.83</v>
      </c>
      <c r="Y163" s="1" t="str">
        <f t="shared" si="22"/>
        <v>Stage II</v>
      </c>
      <c r="Z163" s="10">
        <f t="shared" si="24"/>
        <v>44414.54</v>
      </c>
    </row>
    <row r="164" spans="1:26">
      <c r="A164" s="1" t="s">
        <v>166</v>
      </c>
      <c r="B164" s="1">
        <v>48</v>
      </c>
      <c r="C164" s="1" t="s">
        <v>542</v>
      </c>
      <c r="D164" s="1" t="str">
        <f>PROPER(Table3[[#This Row],[Gender]])</f>
        <v>Male</v>
      </c>
      <c r="E164" s="1" t="s">
        <v>551</v>
      </c>
      <c r="F164" s="1" t="str">
        <f>PROPER(Table3[[#This Row],[Country_Region]])</f>
        <v>Germany</v>
      </c>
      <c r="G164" s="1">
        <v>2024</v>
      </c>
      <c r="H164" s="1">
        <v>0.4</v>
      </c>
      <c r="I164" s="1">
        <f>IF(H164="", AVERAGEIF('CLEANED DATASET'!$G$2:$G$532,G164,'CLEANED DATASET'!$H158),H164)</f>
        <v>0.4</v>
      </c>
      <c r="J164" s="1">
        <v>5.4</v>
      </c>
      <c r="K164" s="1">
        <f t="shared" si="18"/>
        <v>5.4</v>
      </c>
      <c r="L164" s="1">
        <v>1.1000000000000001</v>
      </c>
      <c r="M164" s="1">
        <f t="shared" si="19"/>
        <v>1.1000000000000001</v>
      </c>
      <c r="N164" s="1">
        <v>4.2</v>
      </c>
      <c r="O164" s="1">
        <f t="shared" si="20"/>
        <v>4.2</v>
      </c>
      <c r="P164" s="1">
        <v>5</v>
      </c>
      <c r="Q164" s="1">
        <f t="shared" si="25"/>
        <v>5</v>
      </c>
      <c r="R164" s="1" t="s">
        <v>576</v>
      </c>
      <c r="S164" s="1" t="str">
        <f>PROPER(Table3[[#This Row],[Cancer_Type]])</f>
        <v>Cervical</v>
      </c>
      <c r="T164" s="1" t="s">
        <v>593</v>
      </c>
      <c r="U164" s="4">
        <v>17401.060000000001</v>
      </c>
      <c r="V164" s="1">
        <v>1.5</v>
      </c>
      <c r="W164" s="1">
        <f t="shared" ca="1" si="21"/>
        <v>5</v>
      </c>
      <c r="X164" s="1">
        <v>4.05</v>
      </c>
      <c r="Y164" s="1" t="str">
        <f t="shared" si="22"/>
        <v>Stage II</v>
      </c>
      <c r="Z164" s="10">
        <f t="shared" si="24"/>
        <v>17401.060000000001</v>
      </c>
    </row>
    <row r="165" spans="1:26">
      <c r="A165" s="1" t="s">
        <v>124</v>
      </c>
      <c r="B165" s="1">
        <v>41</v>
      </c>
      <c r="C165" s="1" t="s">
        <v>543</v>
      </c>
      <c r="D165" s="1" t="str">
        <f>PROPER(Table3[[#This Row],[Gender]])</f>
        <v>Female</v>
      </c>
      <c r="E165" s="1" t="s">
        <v>554</v>
      </c>
      <c r="F165" s="1" t="str">
        <f>PROPER(Table3[[#This Row],[Country_Region]])</f>
        <v>Brazil</v>
      </c>
      <c r="G165" s="1">
        <v>2023</v>
      </c>
      <c r="H165" s="1">
        <v>4.8</v>
      </c>
      <c r="I165" s="1">
        <f>IF(H165="", AVERAGEIF('CLEANED DATASET'!$G$2:$G$532,G165,'CLEANED DATASET'!$H116),H165)</f>
        <v>4.8</v>
      </c>
      <c r="J165" s="1">
        <v>9.8000000000000007</v>
      </c>
      <c r="K165" s="1">
        <f t="shared" si="18"/>
        <v>9.8000000000000007</v>
      </c>
      <c r="L165" s="1">
        <v>4.8</v>
      </c>
      <c r="M165" s="1">
        <f t="shared" si="19"/>
        <v>4.8</v>
      </c>
      <c r="N165" s="1">
        <v>1.8</v>
      </c>
      <c r="O165" s="1">
        <f t="shared" si="20"/>
        <v>1.8</v>
      </c>
      <c r="P165" s="1">
        <v>5.5</v>
      </c>
      <c r="Q165" s="1">
        <f t="shared" si="25"/>
        <v>5.5</v>
      </c>
      <c r="R165" s="1" t="s">
        <v>602</v>
      </c>
      <c r="S165" s="1" t="str">
        <f>PROPER(Table3[[#This Row],[Cancer_Type]])</f>
        <v>Unknown</v>
      </c>
      <c r="T165" s="1" t="s">
        <v>591</v>
      </c>
      <c r="U165" s="4">
        <v>42320.34</v>
      </c>
      <c r="V165" s="1">
        <v>2</v>
      </c>
      <c r="W165" s="1">
        <f t="shared" ca="1" si="21"/>
        <v>5</v>
      </c>
      <c r="X165" s="1">
        <v>5.21</v>
      </c>
      <c r="Y165" s="1" t="str">
        <f t="shared" si="22"/>
        <v>Stage II</v>
      </c>
      <c r="Z165" s="10">
        <f t="shared" si="24"/>
        <v>42320.34</v>
      </c>
    </row>
    <row r="166" spans="1:26">
      <c r="A166" s="1" t="s">
        <v>79</v>
      </c>
      <c r="B166" s="1">
        <v>60</v>
      </c>
      <c r="C166" s="1" t="s">
        <v>542</v>
      </c>
      <c r="D166" s="1" t="str">
        <f>PROPER(Table3[[#This Row],[Gender]])</f>
        <v>Male</v>
      </c>
      <c r="E166" s="1" t="s">
        <v>548</v>
      </c>
      <c r="F166" s="1" t="str">
        <f>PROPER(Table3[[#This Row],[Country_Region]])</f>
        <v>Uk</v>
      </c>
      <c r="G166" s="1">
        <v>2022</v>
      </c>
      <c r="H166" s="1">
        <v>3.3</v>
      </c>
      <c r="I166" s="1">
        <f>IF(H166="", AVERAGEIF('CLEANED DATASET'!$G$2:$G$532,G166,'CLEANED DATASET'!$H71),H166)</f>
        <v>3.3</v>
      </c>
      <c r="J166" s="1">
        <v>4.8</v>
      </c>
      <c r="K166" s="1">
        <f t="shared" si="18"/>
        <v>4.8</v>
      </c>
      <c r="L166" s="1">
        <v>5</v>
      </c>
      <c r="M166" s="1">
        <f t="shared" si="19"/>
        <v>5</v>
      </c>
      <c r="N166" s="1">
        <v>8.4</v>
      </c>
      <c r="O166" s="1">
        <f t="shared" si="20"/>
        <v>8.4</v>
      </c>
      <c r="P166" s="1">
        <v>6.8</v>
      </c>
      <c r="Q166" s="1">
        <f t="shared" si="25"/>
        <v>6.8</v>
      </c>
      <c r="R166" s="1" t="s">
        <v>571</v>
      </c>
      <c r="S166" s="1" t="str">
        <f>PROPER(Table3[[#This Row],[Cancer_Type]])</f>
        <v>Lung</v>
      </c>
      <c r="T166" s="1" t="s">
        <v>594</v>
      </c>
      <c r="U166" s="4">
        <v>26869.3</v>
      </c>
      <c r="V166" s="1">
        <v>4.7</v>
      </c>
      <c r="W166" s="1">
        <f t="shared" ca="1" si="21"/>
        <v>5</v>
      </c>
      <c r="X166" s="1">
        <v>5.95</v>
      </c>
      <c r="Y166" s="1" t="str">
        <f t="shared" si="22"/>
        <v>Stage II</v>
      </c>
      <c r="Z166" s="10">
        <f t="shared" si="24"/>
        <v>26869.3</v>
      </c>
    </row>
    <row r="167" spans="1:26">
      <c r="A167" s="1" t="s">
        <v>213</v>
      </c>
      <c r="B167" s="1">
        <v>85</v>
      </c>
      <c r="C167" s="1" t="s">
        <v>542</v>
      </c>
      <c r="D167" s="1" t="str">
        <f>PROPER(Table3[[#This Row],[Gender]])</f>
        <v>Male</v>
      </c>
      <c r="E167" s="1" t="s">
        <v>549</v>
      </c>
      <c r="F167" s="1" t="str">
        <f>PROPER(Table3[[#This Row],[Country_Region]])</f>
        <v>Australia</v>
      </c>
      <c r="G167" s="1">
        <v>2022</v>
      </c>
      <c r="H167" s="1">
        <v>5.8</v>
      </c>
      <c r="I167" s="1">
        <f>IF(H167="", AVERAGEIF('CLEANED DATASET'!$G$2:$G$532,G167,'CLEANED DATASET'!$H205),H167)</f>
        <v>5.8</v>
      </c>
      <c r="J167" s="1">
        <v>5.0999999999999996</v>
      </c>
      <c r="K167" s="1">
        <f t="shared" si="18"/>
        <v>5.0999999999999996</v>
      </c>
      <c r="L167" s="1">
        <v>3.3</v>
      </c>
      <c r="M167" s="1">
        <f t="shared" si="19"/>
        <v>3.3</v>
      </c>
      <c r="N167" s="1">
        <v>2.8</v>
      </c>
      <c r="O167" s="1">
        <f t="shared" si="20"/>
        <v>2.8</v>
      </c>
      <c r="P167" s="1">
        <v>0.3</v>
      </c>
      <c r="Q167" s="1">
        <f t="shared" si="25"/>
        <v>0.3</v>
      </c>
      <c r="R167" s="1" t="s">
        <v>574</v>
      </c>
      <c r="S167" s="1" t="str">
        <f>PROPER(Table3[[#This Row],[Cancer_Type]])</f>
        <v>Colon</v>
      </c>
      <c r="T167" s="1" t="s">
        <v>590</v>
      </c>
      <c r="U167" s="4">
        <v>30473.040000000001</v>
      </c>
      <c r="V167" s="1">
        <v>2.4</v>
      </c>
      <c r="W167" s="1">
        <f t="shared" ca="1" si="21"/>
        <v>5</v>
      </c>
      <c r="X167" s="1">
        <v>4.4000000000000004</v>
      </c>
      <c r="Y167" s="1" t="str">
        <f t="shared" si="22"/>
        <v>Stage II</v>
      </c>
      <c r="Z167" s="10">
        <f t="shared" si="24"/>
        <v>30473.040000000001</v>
      </c>
    </row>
    <row r="168" spans="1:26">
      <c r="A168" s="1" t="s">
        <v>204</v>
      </c>
      <c r="B168" s="1">
        <v>31</v>
      </c>
      <c r="C168" s="1" t="s">
        <v>615</v>
      </c>
      <c r="D168" s="1" t="str">
        <f>PROPER(Table3[[#This Row],[Gender]])</f>
        <v>Male</v>
      </c>
      <c r="E168" s="1" t="s">
        <v>548</v>
      </c>
      <c r="F168" s="1" t="str">
        <f>PROPER(Table3[[#This Row],[Country_Region]])</f>
        <v>Uk</v>
      </c>
      <c r="G168" s="1">
        <v>2024</v>
      </c>
      <c r="H168" s="1">
        <v>6.4</v>
      </c>
      <c r="I168" s="1">
        <f>IF(H168="", AVERAGEIF('CLEANED DATASET'!$G$2:$G$532,G168,'CLEANED DATASET'!$H196),H168)</f>
        <v>6.4</v>
      </c>
      <c r="J168" s="1">
        <v>1.6</v>
      </c>
      <c r="K168" s="1">
        <f t="shared" si="18"/>
        <v>1.6</v>
      </c>
      <c r="L168" s="1">
        <v>9.6999999999999993</v>
      </c>
      <c r="M168" s="1">
        <f t="shared" si="19"/>
        <v>9.6999999999999993</v>
      </c>
      <c r="N168" s="1">
        <v>5.0999999999999996</v>
      </c>
      <c r="O168" s="1">
        <f t="shared" si="20"/>
        <v>5.0999999999999996</v>
      </c>
      <c r="P168" s="1">
        <v>0.7</v>
      </c>
      <c r="Q168" s="1">
        <f t="shared" si="25"/>
        <v>0.7</v>
      </c>
      <c r="R168" s="1" t="s">
        <v>578</v>
      </c>
      <c r="S168" s="1" t="str">
        <f>PROPER(Table3[[#This Row],[Cancer_Type]])</f>
        <v>Liver</v>
      </c>
      <c r="T168" s="1" t="s">
        <v>594</v>
      </c>
      <c r="U168" s="4">
        <v>16222</v>
      </c>
      <c r="V168" s="1">
        <v>4.5999999999999996</v>
      </c>
      <c r="W168" s="1">
        <f t="shared" ca="1" si="21"/>
        <v>5</v>
      </c>
      <c r="X168" s="1">
        <v>5.74</v>
      </c>
      <c r="Y168" s="1" t="str">
        <f t="shared" si="22"/>
        <v>Stage II</v>
      </c>
      <c r="Z168" s="10">
        <f t="shared" si="24"/>
        <v>16222</v>
      </c>
    </row>
    <row r="169" spans="1:26">
      <c r="A169" s="1" t="s">
        <v>415</v>
      </c>
      <c r="B169" s="1">
        <v>56</v>
      </c>
      <c r="C169" s="1" t="s">
        <v>546</v>
      </c>
      <c r="D169" s="1" t="str">
        <f>PROPER(Table3[[#This Row],[Gender]])</f>
        <v>Unknown</v>
      </c>
      <c r="E169" s="1" t="s">
        <v>550</v>
      </c>
      <c r="F169" s="1" t="str">
        <f>PROPER(Table3[[#This Row],[Country_Region]])</f>
        <v>Pakistan</v>
      </c>
      <c r="G169" s="1">
        <v>2023</v>
      </c>
      <c r="H169" s="1">
        <v>5.5</v>
      </c>
      <c r="I169" s="1">
        <f>IF(H169="", AVERAGEIF('CLEANED DATASET'!$G$2:$G$532,G169,'CLEANED DATASET'!$H407),H169)</f>
        <v>5.5</v>
      </c>
      <c r="J169" s="1">
        <v>6.6</v>
      </c>
      <c r="K169" s="1">
        <f t="shared" si="18"/>
        <v>6.6</v>
      </c>
      <c r="L169" s="1">
        <v>3.5</v>
      </c>
      <c r="M169" s="1">
        <f t="shared" si="19"/>
        <v>3.5</v>
      </c>
      <c r="N169" s="1">
        <v>0.4</v>
      </c>
      <c r="O169" s="1">
        <f t="shared" si="20"/>
        <v>0.4</v>
      </c>
      <c r="P169" s="1">
        <v>6.2</v>
      </c>
      <c r="Q169" s="1">
        <f t="shared" si="25"/>
        <v>6.2</v>
      </c>
      <c r="R169" s="1" t="s">
        <v>578</v>
      </c>
      <c r="S169" s="1" t="str">
        <f>PROPER(Table3[[#This Row],[Cancer_Type]])</f>
        <v>Liver</v>
      </c>
      <c r="T169" s="1" t="s">
        <v>592</v>
      </c>
      <c r="U169" s="4">
        <v>87146.4</v>
      </c>
      <c r="V169" s="1">
        <v>8</v>
      </c>
      <c r="W169" s="1">
        <f t="shared" ca="1" si="21"/>
        <v>8</v>
      </c>
      <c r="X169" s="1">
        <v>3.57</v>
      </c>
      <c r="Y169" s="1" t="str">
        <f t="shared" si="22"/>
        <v>Stage I</v>
      </c>
      <c r="Z169" s="10">
        <f t="shared" si="24"/>
        <v>87146.4</v>
      </c>
    </row>
    <row r="170" spans="1:26">
      <c r="A170" s="1" t="s">
        <v>389</v>
      </c>
      <c r="B170" s="1">
        <v>46</v>
      </c>
      <c r="C170" s="1" t="s">
        <v>541</v>
      </c>
      <c r="D170" s="1" t="str">
        <f>PROPER(Table3[[#This Row],[Gender]])</f>
        <v>Other</v>
      </c>
      <c r="E170" s="1" t="s">
        <v>549</v>
      </c>
      <c r="F170" s="1" t="str">
        <f>PROPER(Table3[[#This Row],[Country_Region]])</f>
        <v>Australia</v>
      </c>
      <c r="G170" s="1">
        <v>2023</v>
      </c>
      <c r="H170" s="1">
        <v>2.9</v>
      </c>
      <c r="I170" s="1">
        <f>IF(H170="", AVERAGEIF('CLEANED DATASET'!$G$2:$G$532,G170,'CLEANED DATASET'!$H381),H170)</f>
        <v>2.9</v>
      </c>
      <c r="J170" s="1"/>
      <c r="K170" s="1">
        <f t="shared" si="18"/>
        <v>4.3</v>
      </c>
      <c r="L170" s="1"/>
      <c r="M170" s="3">
        <f t="shared" si="19"/>
        <v>4.9025210084033617</v>
      </c>
      <c r="N170" s="1">
        <v>2.7</v>
      </c>
      <c r="O170" s="1">
        <f t="shared" si="20"/>
        <v>2.7</v>
      </c>
      <c r="P170" s="1">
        <v>7.6</v>
      </c>
      <c r="Q170" s="1">
        <f t="shared" si="25"/>
        <v>7.6</v>
      </c>
      <c r="R170" s="1" t="s">
        <v>573</v>
      </c>
      <c r="S170" s="1" t="str">
        <f>PROPER(Table3[[#This Row],[Cancer_Type]])</f>
        <v>Breast</v>
      </c>
      <c r="T170" s="1" t="s">
        <v>594</v>
      </c>
      <c r="U170" s="4">
        <v>57978.23</v>
      </c>
      <c r="V170" s="1">
        <v>0.4</v>
      </c>
      <c r="W170" s="1">
        <f t="shared" ca="1" si="21"/>
        <v>6</v>
      </c>
      <c r="X170" s="1">
        <v>4.46</v>
      </c>
      <c r="Y170" s="1" t="str">
        <f t="shared" si="22"/>
        <v>Stage II</v>
      </c>
      <c r="Z170" s="10">
        <f t="shared" si="24"/>
        <v>57978.23</v>
      </c>
    </row>
    <row r="171" spans="1:26">
      <c r="A171" s="1" t="s">
        <v>104</v>
      </c>
      <c r="B171" s="1">
        <v>76</v>
      </c>
      <c r="C171" s="1" t="s">
        <v>545</v>
      </c>
      <c r="D171" s="1" t="str">
        <f>PROPER(Table3[[#This Row],[Gender]])</f>
        <v>Male</v>
      </c>
      <c r="E171" s="1" t="s">
        <v>552</v>
      </c>
      <c r="F171" s="1" t="str">
        <f>PROPER(Table3[[#This Row],[Country_Region]])</f>
        <v>China</v>
      </c>
      <c r="G171" s="1">
        <v>2023</v>
      </c>
      <c r="H171" s="1">
        <v>3.8</v>
      </c>
      <c r="I171" s="1">
        <f>IF(H171="", AVERAGEIF('CLEANED DATASET'!$G$2:$G$532,G171,'CLEANED DATASET'!$H96),H171)</f>
        <v>3.8</v>
      </c>
      <c r="J171" s="1">
        <v>7</v>
      </c>
      <c r="K171" s="1">
        <f t="shared" si="18"/>
        <v>7</v>
      </c>
      <c r="L171" s="1">
        <v>7.4</v>
      </c>
      <c r="M171" s="1">
        <f t="shared" si="19"/>
        <v>7.4</v>
      </c>
      <c r="N171" s="1">
        <v>1.1000000000000001</v>
      </c>
      <c r="O171" s="1">
        <f t="shared" si="20"/>
        <v>1.1000000000000001</v>
      </c>
      <c r="P171" s="1">
        <v>8</v>
      </c>
      <c r="Q171" s="1">
        <f t="shared" si="25"/>
        <v>8</v>
      </c>
      <c r="R171" s="1" t="s">
        <v>574</v>
      </c>
      <c r="S171" s="1" t="str">
        <f>PROPER(Table3[[#This Row],[Cancer_Type]])</f>
        <v>Colon</v>
      </c>
      <c r="T171" s="1" t="s">
        <v>594</v>
      </c>
      <c r="U171" s="4">
        <v>96335.54</v>
      </c>
      <c r="V171" s="1">
        <v>9.6999999999999993</v>
      </c>
      <c r="W171" s="1">
        <f t="shared" ca="1" si="21"/>
        <v>5</v>
      </c>
      <c r="X171" s="1">
        <v>4.01</v>
      </c>
      <c r="Y171" s="1" t="str">
        <f t="shared" si="22"/>
        <v>Stage II</v>
      </c>
      <c r="Z171" s="10">
        <f t="shared" si="24"/>
        <v>96335.54</v>
      </c>
    </row>
    <row r="172" spans="1:26">
      <c r="A172" s="1" t="s">
        <v>450</v>
      </c>
      <c r="B172" s="1">
        <v>26</v>
      </c>
      <c r="C172" s="1" t="s">
        <v>546</v>
      </c>
      <c r="D172" s="1" t="str">
        <f>PROPER(Table3[[#This Row],[Gender]])</f>
        <v>Unknown</v>
      </c>
      <c r="E172" s="1" t="s">
        <v>554</v>
      </c>
      <c r="F172" s="1" t="str">
        <f>PROPER(Table3[[#This Row],[Country_Region]])</f>
        <v>Brazil</v>
      </c>
      <c r="G172" s="1">
        <v>2022</v>
      </c>
      <c r="H172" s="1">
        <v>1.6</v>
      </c>
      <c r="I172" s="1">
        <f>IF(H172="", AVERAGEIF('CLEANED DATASET'!$G$2:$G$532,G172,'CLEANED DATASET'!$H442),H172)</f>
        <v>1.6</v>
      </c>
      <c r="J172" s="1">
        <v>9.6999999999999993</v>
      </c>
      <c r="K172" s="1">
        <f t="shared" si="18"/>
        <v>9.6999999999999993</v>
      </c>
      <c r="L172" s="1">
        <v>0.9</v>
      </c>
      <c r="M172" s="1">
        <f t="shared" si="19"/>
        <v>0.9</v>
      </c>
      <c r="N172" s="1">
        <v>7.1</v>
      </c>
      <c r="O172" s="1">
        <f t="shared" si="20"/>
        <v>7.1</v>
      </c>
      <c r="P172" s="1">
        <v>4</v>
      </c>
      <c r="Q172" s="1">
        <f t="shared" si="25"/>
        <v>4</v>
      </c>
      <c r="R172" s="1" t="s">
        <v>572</v>
      </c>
      <c r="S172" s="1" t="str">
        <f>PROPER(Table3[[#This Row],[Cancer_Type]])</f>
        <v>Leukemia</v>
      </c>
      <c r="T172" s="1" t="s">
        <v>592</v>
      </c>
      <c r="U172" s="4">
        <v>32975.019999999997</v>
      </c>
      <c r="V172" s="1">
        <v>2.4</v>
      </c>
      <c r="W172" s="1">
        <f t="shared" ca="1" si="21"/>
        <v>5</v>
      </c>
      <c r="X172" s="1">
        <v>5.07</v>
      </c>
      <c r="Y172" s="1" t="str">
        <f t="shared" si="22"/>
        <v>Stage II</v>
      </c>
      <c r="Z172" s="10">
        <f t="shared" si="24"/>
        <v>32975.019999999997</v>
      </c>
    </row>
    <row r="173" spans="1:26">
      <c r="A173" s="1" t="s">
        <v>442</v>
      </c>
      <c r="B173" s="1">
        <v>81</v>
      </c>
      <c r="C173" s="1" t="s">
        <v>542</v>
      </c>
      <c r="D173" s="1" t="str">
        <f>PROPER(Table3[[#This Row],[Gender]])</f>
        <v>Male</v>
      </c>
      <c r="E173" s="1" t="s">
        <v>548</v>
      </c>
      <c r="F173" s="1" t="str">
        <f>PROPER(Table3[[#This Row],[Country_Region]])</f>
        <v>Uk</v>
      </c>
      <c r="G173" s="1">
        <v>2023</v>
      </c>
      <c r="H173" s="1">
        <v>7</v>
      </c>
      <c r="I173" s="1">
        <f>IF(H173="", AVERAGEIF('CLEANED DATASET'!$G$2:$G$532,G173,'CLEANED DATASET'!$H434),H173)</f>
        <v>7</v>
      </c>
      <c r="J173" s="1">
        <v>2.9</v>
      </c>
      <c r="K173" s="1">
        <f t="shared" si="18"/>
        <v>2.9</v>
      </c>
      <c r="L173" s="1">
        <v>6.9</v>
      </c>
      <c r="M173" s="1">
        <f t="shared" si="19"/>
        <v>6.9</v>
      </c>
      <c r="N173" s="1">
        <v>2.7</v>
      </c>
      <c r="O173" s="1">
        <f t="shared" si="20"/>
        <v>2.7</v>
      </c>
      <c r="P173" s="1">
        <v>9.3000000000000007</v>
      </c>
      <c r="Q173" s="1">
        <f t="shared" si="25"/>
        <v>9.3000000000000007</v>
      </c>
      <c r="R173" s="1" t="s">
        <v>603</v>
      </c>
      <c r="S173" s="1" t="str">
        <f>PROPER(Table3[[#This Row],[Cancer_Type]])</f>
        <v>Unknown</v>
      </c>
      <c r="T173" s="1"/>
      <c r="U173" s="4">
        <v>19068.84</v>
      </c>
      <c r="V173" s="1">
        <v>0.4</v>
      </c>
      <c r="W173" s="1">
        <f t="shared" ca="1" si="21"/>
        <v>5</v>
      </c>
      <c r="X173" s="1">
        <v>5.96</v>
      </c>
      <c r="Y173" s="1" t="str">
        <f t="shared" si="22"/>
        <v>Stage II</v>
      </c>
      <c r="Z173" s="10">
        <f t="shared" si="24"/>
        <v>19068.84</v>
      </c>
    </row>
    <row r="174" spans="1:26">
      <c r="A174" s="1" t="s">
        <v>151</v>
      </c>
      <c r="B174" s="1">
        <v>52</v>
      </c>
      <c r="C174" s="1" t="s">
        <v>543</v>
      </c>
      <c r="D174" s="1" t="str">
        <f>PROPER(Table3[[#This Row],[Gender]])</f>
        <v>Female</v>
      </c>
      <c r="E174" s="1" t="s">
        <v>550</v>
      </c>
      <c r="F174" s="1" t="str">
        <f>PROPER(Table3[[#This Row],[Country_Region]])</f>
        <v>Pakistan</v>
      </c>
      <c r="G174" s="1">
        <v>2024</v>
      </c>
      <c r="H174" s="1">
        <v>7.4</v>
      </c>
      <c r="I174" s="1">
        <f>IF(H174="", AVERAGEIF('CLEANED DATASET'!$G$2:$G$532,G174,'CLEANED DATASET'!$H143),H174)</f>
        <v>7.4</v>
      </c>
      <c r="J174" s="1">
        <v>4</v>
      </c>
      <c r="K174" s="1">
        <f t="shared" si="18"/>
        <v>4</v>
      </c>
      <c r="L174" s="1">
        <v>7.8</v>
      </c>
      <c r="M174" s="1">
        <f t="shared" si="19"/>
        <v>7.8</v>
      </c>
      <c r="N174" s="1">
        <v>0.3</v>
      </c>
      <c r="O174" s="1">
        <f t="shared" si="20"/>
        <v>0.3</v>
      </c>
      <c r="P174" s="1">
        <v>4.4000000000000004</v>
      </c>
      <c r="Q174" s="1">
        <f t="shared" si="25"/>
        <v>4.4000000000000004</v>
      </c>
      <c r="R174" s="1" t="s">
        <v>579</v>
      </c>
      <c r="S174" s="1" t="str">
        <f>PROPER(Table3[[#This Row],[Cancer_Type]])</f>
        <v>Prostate</v>
      </c>
      <c r="T174" s="1" t="s">
        <v>592</v>
      </c>
      <c r="U174" s="4">
        <v>29500.36</v>
      </c>
      <c r="V174" s="1">
        <v>6.2</v>
      </c>
      <c r="W174" s="1">
        <f t="shared" ca="1" si="21"/>
        <v>5</v>
      </c>
      <c r="X174" s="1">
        <v>5.16</v>
      </c>
      <c r="Y174" s="1" t="str">
        <f t="shared" si="22"/>
        <v>Stage II</v>
      </c>
      <c r="Z174" s="10">
        <f t="shared" si="24"/>
        <v>29500.36</v>
      </c>
    </row>
    <row r="175" spans="1:26">
      <c r="A175" s="1" t="s">
        <v>250</v>
      </c>
      <c r="B175" s="1">
        <v>71</v>
      </c>
      <c r="C175" s="1" t="s">
        <v>543</v>
      </c>
      <c r="D175" s="1" t="str">
        <f>PROPER(Table3[[#This Row],[Gender]])</f>
        <v>Female</v>
      </c>
      <c r="E175" s="1" t="s">
        <v>551</v>
      </c>
      <c r="F175" s="1" t="str">
        <f>PROPER(Table3[[#This Row],[Country_Region]])</f>
        <v>Germany</v>
      </c>
      <c r="G175" s="1">
        <v>2024</v>
      </c>
      <c r="H175" s="1">
        <v>8.3000000000000007</v>
      </c>
      <c r="I175" s="1">
        <f>IF(H175="", AVERAGEIF('CLEANED DATASET'!$G$2:$G$532,G175,'CLEANED DATASET'!$H242),H175)</f>
        <v>8.3000000000000007</v>
      </c>
      <c r="J175" s="1">
        <v>1.2</v>
      </c>
      <c r="K175" s="1">
        <f t="shared" si="18"/>
        <v>1.2</v>
      </c>
      <c r="L175" s="1">
        <v>3.7</v>
      </c>
      <c r="M175" s="1">
        <f t="shared" si="19"/>
        <v>3.7</v>
      </c>
      <c r="N175" s="1">
        <v>5.3</v>
      </c>
      <c r="O175" s="1">
        <f t="shared" si="20"/>
        <v>5.3</v>
      </c>
      <c r="P175" s="1">
        <v>4.5999999999999996</v>
      </c>
      <c r="Q175" s="1">
        <f t="shared" si="25"/>
        <v>4.5999999999999996</v>
      </c>
      <c r="R175" s="1" t="s">
        <v>578</v>
      </c>
      <c r="S175" s="1" t="str">
        <f>PROPER(Table3[[#This Row],[Cancer_Type]])</f>
        <v>Liver</v>
      </c>
      <c r="T175" s="1" t="s">
        <v>594</v>
      </c>
      <c r="U175" s="4">
        <v>28675.1</v>
      </c>
      <c r="V175" s="1">
        <f>ROUND(10-((I175+K175+M175+O175+Q175)/5),1)</f>
        <v>5.4</v>
      </c>
      <c r="W175" s="1">
        <f t="shared" ca="1" si="21"/>
        <v>5</v>
      </c>
      <c r="X175" s="1">
        <v>5.34</v>
      </c>
      <c r="Y175" s="1" t="str">
        <f t="shared" si="22"/>
        <v>Stage II</v>
      </c>
      <c r="Z175" s="10">
        <f t="shared" si="24"/>
        <v>28675.1</v>
      </c>
    </row>
    <row r="176" spans="1:26">
      <c r="A176" s="1" t="s">
        <v>304</v>
      </c>
      <c r="B176" s="1">
        <v>64</v>
      </c>
      <c r="C176" s="1" t="s">
        <v>541</v>
      </c>
      <c r="D176" s="1" t="str">
        <f>PROPER(Table3[[#This Row],[Gender]])</f>
        <v>Other</v>
      </c>
      <c r="E176" s="1" t="s">
        <v>553</v>
      </c>
      <c r="F176" s="1" t="str">
        <f>PROPER(Table3[[#This Row],[Country_Region]])</f>
        <v>Canada</v>
      </c>
      <c r="G176" s="1">
        <v>2024</v>
      </c>
      <c r="H176" s="1">
        <v>8.1</v>
      </c>
      <c r="I176" s="1">
        <f>IF(H176="", AVERAGEIF('CLEANED DATASET'!$G$2:$G$532,G176,'CLEANED DATASET'!$H296),H176)</f>
        <v>8.1</v>
      </c>
      <c r="J176" s="1">
        <v>7.1</v>
      </c>
      <c r="K176" s="1">
        <f t="shared" si="18"/>
        <v>7.1</v>
      </c>
      <c r="L176" s="1">
        <v>1.1000000000000001</v>
      </c>
      <c r="M176" s="1">
        <f t="shared" si="19"/>
        <v>1.1000000000000001</v>
      </c>
      <c r="N176" s="1">
        <v>0.4</v>
      </c>
      <c r="O176" s="1">
        <f t="shared" si="20"/>
        <v>0.4</v>
      </c>
      <c r="P176" s="1">
        <v>8.1999999999999993</v>
      </c>
      <c r="Q176" s="1">
        <f t="shared" si="25"/>
        <v>8.1999999999999993</v>
      </c>
      <c r="R176" s="1" t="s">
        <v>582</v>
      </c>
      <c r="S176" s="1" t="str">
        <f>PROPER(Table3[[#This Row],[Cancer_Type]])</f>
        <v>Lung</v>
      </c>
      <c r="T176" s="1" t="s">
        <v>592</v>
      </c>
      <c r="U176" s="4">
        <v>30018.17</v>
      </c>
      <c r="V176" s="1">
        <v>7.2</v>
      </c>
      <c r="W176" s="1">
        <f t="shared" ca="1" si="21"/>
        <v>5</v>
      </c>
      <c r="X176" s="1">
        <v>5.15</v>
      </c>
      <c r="Y176" s="1" t="str">
        <f t="shared" si="22"/>
        <v>Stage II</v>
      </c>
      <c r="Z176" s="10">
        <f t="shared" si="24"/>
        <v>30018.17</v>
      </c>
    </row>
    <row r="177" spans="1:26">
      <c r="A177" s="1" t="s">
        <v>356</v>
      </c>
      <c r="B177" s="1">
        <v>83</v>
      </c>
      <c r="C177" s="1" t="s">
        <v>542</v>
      </c>
      <c r="D177" s="1" t="str">
        <f>PROPER(Table3[[#This Row],[Gender]])</f>
        <v>Male</v>
      </c>
      <c r="E177" s="1" t="s">
        <v>548</v>
      </c>
      <c r="F177" s="1" t="str">
        <f>PROPER(Table3[[#This Row],[Country_Region]])</f>
        <v>Uk</v>
      </c>
      <c r="G177" s="1">
        <v>2022</v>
      </c>
      <c r="H177" s="1">
        <v>5.5</v>
      </c>
      <c r="I177" s="1">
        <f>IF(H177="", AVERAGEIF('CLEANED DATASET'!$G$2:$G$532,G177,'CLEANED DATASET'!$H348),H177)</f>
        <v>5.5</v>
      </c>
      <c r="J177" s="1">
        <v>0.6</v>
      </c>
      <c r="K177" s="1">
        <f t="shared" si="18"/>
        <v>0.6</v>
      </c>
      <c r="L177" s="1">
        <v>6.5</v>
      </c>
      <c r="M177" s="1">
        <f t="shared" si="19"/>
        <v>6.5</v>
      </c>
      <c r="N177" s="1">
        <v>3.3</v>
      </c>
      <c r="O177" s="1">
        <f t="shared" si="20"/>
        <v>3.3</v>
      </c>
      <c r="P177" s="1">
        <v>3.9</v>
      </c>
      <c r="Q177" s="1">
        <f t="shared" si="25"/>
        <v>3.9</v>
      </c>
      <c r="R177" s="1" t="s">
        <v>574</v>
      </c>
      <c r="S177" s="1" t="str">
        <f>PROPER(Table3[[#This Row],[Cancer_Type]])</f>
        <v>Colon</v>
      </c>
      <c r="T177" s="1" t="s">
        <v>594</v>
      </c>
      <c r="U177" s="4">
        <v>82787.94</v>
      </c>
      <c r="V177" s="1">
        <v>5.5</v>
      </c>
      <c r="W177" s="1">
        <f t="shared" ca="1" si="21"/>
        <v>7</v>
      </c>
      <c r="X177" s="1">
        <v>3.56</v>
      </c>
      <c r="Y177" s="1" t="str">
        <f t="shared" si="22"/>
        <v>Stage I</v>
      </c>
      <c r="Z177" s="10">
        <f t="shared" si="24"/>
        <v>82787.94</v>
      </c>
    </row>
    <row r="178" spans="1:26">
      <c r="A178" s="1" t="s">
        <v>283</v>
      </c>
      <c r="B178" s="1">
        <v>21</v>
      </c>
      <c r="C178" s="1" t="s">
        <v>543</v>
      </c>
      <c r="D178" s="1" t="str">
        <f>PROPER(Table3[[#This Row],[Gender]])</f>
        <v>Female</v>
      </c>
      <c r="E178" s="1" t="s">
        <v>548</v>
      </c>
      <c r="F178" s="1" t="str">
        <f>PROPER(Table3[[#This Row],[Country_Region]])</f>
        <v>Uk</v>
      </c>
      <c r="G178" s="1">
        <v>2023</v>
      </c>
      <c r="H178" s="1">
        <v>9</v>
      </c>
      <c r="I178" s="1">
        <f>IF(H178="", AVERAGEIF('CLEANED DATASET'!$G$2:$G$532,G178,'CLEANED DATASET'!$H275),H178)</f>
        <v>9</v>
      </c>
      <c r="J178" s="1">
        <v>2.5</v>
      </c>
      <c r="K178" s="1">
        <f t="shared" si="18"/>
        <v>2.5</v>
      </c>
      <c r="L178" s="1">
        <v>1.5</v>
      </c>
      <c r="M178" s="1">
        <f t="shared" si="19"/>
        <v>1.5</v>
      </c>
      <c r="N178" s="1">
        <v>1.3</v>
      </c>
      <c r="O178" s="1">
        <f t="shared" si="20"/>
        <v>1.3</v>
      </c>
      <c r="P178" s="1">
        <v>7.3</v>
      </c>
      <c r="Q178" s="1">
        <f t="shared" si="25"/>
        <v>7.3</v>
      </c>
      <c r="R178" s="1" t="s">
        <v>572</v>
      </c>
      <c r="S178" s="1" t="str">
        <f>PROPER(Table3[[#This Row],[Cancer_Type]])</f>
        <v>Leukemia</v>
      </c>
      <c r="T178" s="1" t="s">
        <v>594</v>
      </c>
      <c r="U178" s="4"/>
      <c r="V178" s="1">
        <v>3.5</v>
      </c>
      <c r="W178" s="1">
        <f t="shared" ca="1" si="21"/>
        <v>1</v>
      </c>
      <c r="X178" s="3">
        <f>ROUND(I178+K178+M178+O178+Q178+(10-V178)/6, 2)</f>
        <v>22.68</v>
      </c>
      <c r="Y178" s="1" t="str">
        <f t="shared" si="22"/>
        <v>Stage IV</v>
      </c>
      <c r="Z178" s="10">
        <f t="shared" si="24"/>
        <v>53962.06</v>
      </c>
    </row>
    <row r="179" spans="1:26">
      <c r="A179" s="1" t="s">
        <v>465</v>
      </c>
      <c r="B179" s="1">
        <v>47</v>
      </c>
      <c r="C179" s="1" t="s">
        <v>543</v>
      </c>
      <c r="D179" s="1" t="str">
        <f>PROPER(Table3[[#This Row],[Gender]])</f>
        <v>Female</v>
      </c>
      <c r="E179" s="1" t="s">
        <v>552</v>
      </c>
      <c r="F179" s="1" t="str">
        <f>PROPER(Table3[[#This Row],[Country_Region]])</f>
        <v>China</v>
      </c>
      <c r="G179" s="1">
        <v>2023</v>
      </c>
      <c r="H179" s="1">
        <v>5.9</v>
      </c>
      <c r="I179" s="1">
        <f>IF(H179="", AVERAGEIF('CLEANED DATASET'!$G$2:$G$532,G179,'CLEANED DATASET'!$H457),H179)</f>
        <v>5.9</v>
      </c>
      <c r="J179" s="1">
        <v>1.4</v>
      </c>
      <c r="K179" s="1">
        <f t="shared" si="18"/>
        <v>1.4</v>
      </c>
      <c r="L179" s="1">
        <v>3.8</v>
      </c>
      <c r="M179" s="1">
        <f t="shared" si="19"/>
        <v>3.8</v>
      </c>
      <c r="N179" s="1">
        <v>3.4</v>
      </c>
      <c r="O179" s="1">
        <f t="shared" si="20"/>
        <v>3.4</v>
      </c>
      <c r="P179" s="1">
        <v>0.7</v>
      </c>
      <c r="Q179" s="1">
        <f t="shared" si="25"/>
        <v>0.7</v>
      </c>
      <c r="R179" s="1" t="s">
        <v>579</v>
      </c>
      <c r="S179" s="1" t="str">
        <f>PROPER(Table3[[#This Row],[Cancer_Type]])</f>
        <v>Prostate</v>
      </c>
      <c r="T179" s="1" t="s">
        <v>591</v>
      </c>
      <c r="U179" s="4">
        <v>86975.82</v>
      </c>
      <c r="V179" s="1">
        <v>8.1</v>
      </c>
      <c r="W179" s="1">
        <f t="shared" ca="1" si="21"/>
        <v>7</v>
      </c>
      <c r="X179" s="1">
        <v>2.97</v>
      </c>
      <c r="Y179" s="1" t="str">
        <f t="shared" si="22"/>
        <v>Stage I</v>
      </c>
      <c r="Z179" s="10">
        <f t="shared" si="24"/>
        <v>86975.82</v>
      </c>
    </row>
    <row r="180" spans="1:26">
      <c r="A180" s="1" t="s">
        <v>464</v>
      </c>
      <c r="B180" s="1">
        <v>61</v>
      </c>
      <c r="C180" s="1" t="s">
        <v>542</v>
      </c>
      <c r="D180" s="1" t="str">
        <f>PROPER(Table3[[#This Row],[Gender]])</f>
        <v>Male</v>
      </c>
      <c r="E180" s="1" t="s">
        <v>643</v>
      </c>
      <c r="F180" s="1" t="str">
        <f>PROPER(Table3[[#This Row],[Country_Region]])</f>
        <v>Pakistan</v>
      </c>
      <c r="G180" s="1">
        <v>2022</v>
      </c>
      <c r="H180" s="1">
        <v>5.7</v>
      </c>
      <c r="I180" s="1">
        <f>IF(H180="", AVERAGEIF('CLEANED DATASET'!$G$2:$G$532,G180,'CLEANED DATASET'!$H456),H180)</f>
        <v>5.7</v>
      </c>
      <c r="J180" s="1">
        <v>6.3</v>
      </c>
      <c r="K180" s="1">
        <f t="shared" si="18"/>
        <v>6.3</v>
      </c>
      <c r="L180" s="1">
        <v>3.9</v>
      </c>
      <c r="M180" s="1">
        <f t="shared" si="19"/>
        <v>3.9</v>
      </c>
      <c r="N180" s="1">
        <v>9.8000000000000007</v>
      </c>
      <c r="O180" s="1">
        <f t="shared" si="20"/>
        <v>9.8000000000000007</v>
      </c>
      <c r="P180" s="1">
        <v>1.7</v>
      </c>
      <c r="Q180" s="1">
        <f t="shared" si="25"/>
        <v>1.7</v>
      </c>
      <c r="R180" s="1" t="s">
        <v>576</v>
      </c>
      <c r="S180" s="1" t="str">
        <f>PROPER(Table3[[#This Row],[Cancer_Type]])</f>
        <v>Cervical</v>
      </c>
      <c r="T180" s="1" t="s">
        <v>594</v>
      </c>
      <c r="U180" s="4">
        <v>55287.44</v>
      </c>
      <c r="V180" s="1">
        <v>3.3</v>
      </c>
      <c r="W180" s="1">
        <f t="shared" ca="1" si="21"/>
        <v>5</v>
      </c>
      <c r="X180" s="1">
        <v>5.69</v>
      </c>
      <c r="Y180" s="1" t="str">
        <f t="shared" si="22"/>
        <v>Stage II</v>
      </c>
      <c r="Z180" s="10">
        <f t="shared" si="24"/>
        <v>55287.44</v>
      </c>
    </row>
    <row r="181" spans="1:26">
      <c r="A181" s="1" t="s">
        <v>382</v>
      </c>
      <c r="B181" s="1">
        <v>52</v>
      </c>
      <c r="C181" s="1" t="s">
        <v>543</v>
      </c>
      <c r="D181" s="1" t="str">
        <f>PROPER(Table3[[#This Row],[Gender]])</f>
        <v>Female</v>
      </c>
      <c r="E181" s="1" t="s">
        <v>556</v>
      </c>
      <c r="F181" s="1" t="str">
        <f>PROPER(Table3[[#This Row],[Country_Region]])</f>
        <v>India</v>
      </c>
      <c r="G181" s="1">
        <v>2023</v>
      </c>
      <c r="H181" s="1">
        <v>6.2</v>
      </c>
      <c r="I181" s="1">
        <f>IF(H181="", AVERAGEIF('CLEANED DATASET'!$G$2:$G$532,G181,'CLEANED DATASET'!$H374),H181)</f>
        <v>6.2</v>
      </c>
      <c r="J181" s="1">
        <v>3.6</v>
      </c>
      <c r="K181" s="1">
        <f t="shared" si="18"/>
        <v>3.6</v>
      </c>
      <c r="L181" s="1">
        <v>4.8</v>
      </c>
      <c r="M181" s="1">
        <f t="shared" si="19"/>
        <v>4.8</v>
      </c>
      <c r="N181" s="1">
        <v>3.8</v>
      </c>
      <c r="O181" s="1">
        <f t="shared" si="20"/>
        <v>3.8</v>
      </c>
      <c r="P181" s="1">
        <v>9.1999999999999993</v>
      </c>
      <c r="Q181" s="1">
        <f t="shared" si="25"/>
        <v>9.1999999999999993</v>
      </c>
      <c r="R181" s="1" t="s">
        <v>578</v>
      </c>
      <c r="S181" s="1" t="str">
        <f>PROPER(Table3[[#This Row],[Cancer_Type]])</f>
        <v>Liver</v>
      </c>
      <c r="T181" s="1" t="s">
        <v>591</v>
      </c>
      <c r="U181" s="4">
        <v>15261.8</v>
      </c>
      <c r="V181" s="1">
        <v>9.9</v>
      </c>
      <c r="W181" s="1">
        <f t="shared" ca="1" si="21"/>
        <v>6</v>
      </c>
      <c r="X181" s="1">
        <v>5.87</v>
      </c>
      <c r="Y181" s="1" t="str">
        <f t="shared" si="22"/>
        <v>Stage II</v>
      </c>
      <c r="Z181" s="10">
        <f t="shared" si="24"/>
        <v>15261.8</v>
      </c>
    </row>
    <row r="182" spans="1:26">
      <c r="A182" s="1" t="s">
        <v>466</v>
      </c>
      <c r="B182" s="1">
        <v>50</v>
      </c>
      <c r="C182" s="1" t="s">
        <v>541</v>
      </c>
      <c r="D182" s="1" t="str">
        <f>PROPER(Table3[[#This Row],[Gender]])</f>
        <v>Other</v>
      </c>
      <c r="E182" s="1" t="s">
        <v>552</v>
      </c>
      <c r="F182" s="1" t="str">
        <f>PROPER(Table3[[#This Row],[Country_Region]])</f>
        <v>China</v>
      </c>
      <c r="G182" s="1">
        <v>2023</v>
      </c>
      <c r="H182" s="1">
        <v>2.6</v>
      </c>
      <c r="I182" s="1">
        <f>IF(H182="", AVERAGEIF('CLEANED DATASET'!$G$2:$G$532,G182,'CLEANED DATASET'!$H458),H182)</f>
        <v>2.6</v>
      </c>
      <c r="J182" s="1">
        <v>4.0999999999999996</v>
      </c>
      <c r="K182" s="1">
        <f t="shared" si="18"/>
        <v>4.0999999999999996</v>
      </c>
      <c r="L182" s="1">
        <v>6.5</v>
      </c>
      <c r="M182" s="1">
        <f t="shared" si="19"/>
        <v>6.5</v>
      </c>
      <c r="N182" s="1">
        <v>1.1000000000000001</v>
      </c>
      <c r="O182" s="1">
        <f t="shared" si="20"/>
        <v>1.1000000000000001</v>
      </c>
      <c r="P182" s="1">
        <v>5.6</v>
      </c>
      <c r="Q182" s="1">
        <f t="shared" si="25"/>
        <v>5.6</v>
      </c>
      <c r="R182" s="1" t="s">
        <v>573</v>
      </c>
      <c r="S182" s="1" t="str">
        <f>PROPER(Table3[[#This Row],[Cancer_Type]])</f>
        <v>Breast</v>
      </c>
      <c r="T182" s="1" t="s">
        <v>592</v>
      </c>
      <c r="U182" s="4">
        <v>14732.85</v>
      </c>
      <c r="V182" s="1">
        <v>2.1</v>
      </c>
      <c r="W182" s="1">
        <f t="shared" ca="1" si="21"/>
        <v>6</v>
      </c>
      <c r="X182" s="1">
        <v>4.5999999999999996</v>
      </c>
      <c r="Y182" s="1" t="str">
        <f t="shared" si="22"/>
        <v>Stage II</v>
      </c>
      <c r="Z182" s="10">
        <f t="shared" si="24"/>
        <v>14732.85</v>
      </c>
    </row>
    <row r="183" spans="1:26">
      <c r="A183" s="1" t="s">
        <v>446</v>
      </c>
      <c r="B183" s="1">
        <v>20</v>
      </c>
      <c r="C183" s="1" t="s">
        <v>543</v>
      </c>
      <c r="D183" s="1" t="str">
        <f>PROPER(Table3[[#This Row],[Gender]])</f>
        <v>Female</v>
      </c>
      <c r="E183" s="1" t="s">
        <v>554</v>
      </c>
      <c r="F183" s="1" t="str">
        <f>PROPER(Table3[[#This Row],[Country_Region]])</f>
        <v>Brazil</v>
      </c>
      <c r="G183" s="1">
        <v>2022</v>
      </c>
      <c r="H183" s="1">
        <v>5.0999999999999996</v>
      </c>
      <c r="I183" s="1">
        <f>IF(H183="", AVERAGEIF('CLEANED DATASET'!$G$2:$G$532,G183,'CLEANED DATASET'!$H438),H183)</f>
        <v>5.0999999999999996</v>
      </c>
      <c r="J183" s="1"/>
      <c r="K183" s="1">
        <f t="shared" si="18"/>
        <v>5</v>
      </c>
      <c r="L183" s="1">
        <v>1.3</v>
      </c>
      <c r="M183" s="1">
        <f t="shared" si="19"/>
        <v>1.3</v>
      </c>
      <c r="N183" s="1">
        <v>4.2</v>
      </c>
      <c r="O183" s="1">
        <f t="shared" si="20"/>
        <v>4.2</v>
      </c>
      <c r="P183" s="1">
        <v>9.1999999999999993</v>
      </c>
      <c r="Q183" s="1">
        <f t="shared" si="25"/>
        <v>9.1999999999999993</v>
      </c>
      <c r="R183" s="1" t="s">
        <v>579</v>
      </c>
      <c r="S183" s="1" t="str">
        <f>PROPER(Table3[[#This Row],[Cancer_Type]])</f>
        <v>Prostate</v>
      </c>
      <c r="T183" s="1" t="s">
        <v>590</v>
      </c>
      <c r="U183" s="4"/>
      <c r="V183" s="1">
        <v>2.6</v>
      </c>
      <c r="W183" s="1">
        <f t="shared" ca="1" si="21"/>
        <v>6</v>
      </c>
      <c r="X183" s="1">
        <v>4.92</v>
      </c>
      <c r="Y183" s="1" t="str">
        <f t="shared" si="22"/>
        <v>Stage II</v>
      </c>
      <c r="Z183" s="10">
        <f t="shared" si="24"/>
        <v>55279.77</v>
      </c>
    </row>
    <row r="184" spans="1:26">
      <c r="A184" s="1" t="s">
        <v>286</v>
      </c>
      <c r="B184" s="1">
        <v>87</v>
      </c>
      <c r="C184" s="1" t="s">
        <v>542</v>
      </c>
      <c r="D184" s="1" t="str">
        <f>PROPER(Table3[[#This Row],[Gender]])</f>
        <v>Male</v>
      </c>
      <c r="E184" s="1" t="s">
        <v>551</v>
      </c>
      <c r="F184" s="1" t="str">
        <f>PROPER(Table3[[#This Row],[Country_Region]])</f>
        <v>Germany</v>
      </c>
      <c r="G184" s="1">
        <v>2023</v>
      </c>
      <c r="H184" s="1">
        <v>4.8</v>
      </c>
      <c r="I184" s="1">
        <f>IF(H184="", AVERAGEIF('CLEANED DATASET'!$G$2:$G$532,G184,'CLEANED DATASET'!$H278),H184)</f>
        <v>4.8</v>
      </c>
      <c r="J184" s="1">
        <v>6.6</v>
      </c>
      <c r="K184" s="1">
        <f t="shared" si="18"/>
        <v>6.6</v>
      </c>
      <c r="L184" s="1">
        <v>1.2</v>
      </c>
      <c r="M184" s="1">
        <f t="shared" si="19"/>
        <v>1.2</v>
      </c>
      <c r="N184" s="1">
        <v>6.1</v>
      </c>
      <c r="O184" s="1">
        <f t="shared" si="20"/>
        <v>6.1</v>
      </c>
      <c r="P184" s="1">
        <v>4.7</v>
      </c>
      <c r="Q184" s="1">
        <f t="shared" si="25"/>
        <v>4.7</v>
      </c>
      <c r="R184" s="1" t="s">
        <v>589</v>
      </c>
      <c r="S184" s="1" t="str">
        <f>PROPER(Table3[[#This Row],[Cancer_Type]])</f>
        <v>Skin</v>
      </c>
      <c r="T184" s="1" t="s">
        <v>591</v>
      </c>
      <c r="U184" s="4">
        <v>15605.98</v>
      </c>
      <c r="V184" s="1">
        <v>5.6</v>
      </c>
      <c r="W184" s="1">
        <f t="shared" ca="1" si="21"/>
        <v>5</v>
      </c>
      <c r="X184" s="1">
        <v>5.51</v>
      </c>
      <c r="Y184" s="1" t="str">
        <f t="shared" si="22"/>
        <v>Stage II</v>
      </c>
      <c r="Z184" s="10">
        <f t="shared" si="24"/>
        <v>15605.98</v>
      </c>
    </row>
    <row r="185" spans="1:26">
      <c r="A185" s="1" t="s">
        <v>34</v>
      </c>
      <c r="B185" s="1">
        <v>62</v>
      </c>
      <c r="C185" s="1" t="s">
        <v>543</v>
      </c>
      <c r="D185" s="1" t="str">
        <f>PROPER(Table3[[#This Row],[Gender]])</f>
        <v>Female</v>
      </c>
      <c r="E185" s="1" t="s">
        <v>552</v>
      </c>
      <c r="F185" s="1" t="str">
        <f>PROPER(Table3[[#This Row],[Country_Region]])</f>
        <v>China</v>
      </c>
      <c r="G185" s="1">
        <v>2022</v>
      </c>
      <c r="H185" s="1">
        <v>2.6</v>
      </c>
      <c r="I185" s="1">
        <f>IF(H185="", AVERAGEIF('CLEANED DATASET'!$G$2:$G$532,G185,'CLEANED DATASET'!$H26),H185)</f>
        <v>2.6</v>
      </c>
      <c r="J185" s="1">
        <v>9</v>
      </c>
      <c r="K185" s="1">
        <f t="shared" si="18"/>
        <v>9</v>
      </c>
      <c r="L185" s="1">
        <v>7.5</v>
      </c>
      <c r="M185" s="1">
        <f t="shared" si="19"/>
        <v>7.5</v>
      </c>
      <c r="N185" s="1">
        <v>5.4</v>
      </c>
      <c r="O185" s="1">
        <f t="shared" si="20"/>
        <v>5.4</v>
      </c>
      <c r="P185" s="1">
        <v>9.6999999999999993</v>
      </c>
      <c r="Q185" s="1">
        <f t="shared" si="25"/>
        <v>9.6999999999999993</v>
      </c>
      <c r="R185" s="1" t="s">
        <v>578</v>
      </c>
      <c r="S185" s="1" t="str">
        <f>PROPER(Table3[[#This Row],[Cancer_Type]])</f>
        <v>Liver</v>
      </c>
      <c r="T185" s="1" t="s">
        <v>592</v>
      </c>
      <c r="U185" s="4">
        <v>32962.75</v>
      </c>
      <c r="V185" s="1">
        <v>5</v>
      </c>
      <c r="W185" s="1">
        <f t="shared" ca="1" si="21"/>
        <v>4</v>
      </c>
      <c r="X185" s="1">
        <v>6.39</v>
      </c>
      <c r="Y185" s="1" t="str">
        <f t="shared" si="22"/>
        <v>Stage III</v>
      </c>
      <c r="Z185" s="10">
        <f t="shared" si="24"/>
        <v>32962.75</v>
      </c>
    </row>
    <row r="186" spans="1:26">
      <c r="A186" s="1" t="s">
        <v>228</v>
      </c>
      <c r="B186" s="1">
        <v>22</v>
      </c>
      <c r="C186" s="1" t="s">
        <v>543</v>
      </c>
      <c r="D186" s="1" t="str">
        <f>PROPER(Table3[[#This Row],[Gender]])</f>
        <v>Female</v>
      </c>
      <c r="E186" s="1" t="s">
        <v>556</v>
      </c>
      <c r="F186" s="1" t="str">
        <f>PROPER(Table3[[#This Row],[Country_Region]])</f>
        <v>India</v>
      </c>
      <c r="G186" s="1">
        <v>2022</v>
      </c>
      <c r="H186" s="1">
        <v>7.3</v>
      </c>
      <c r="I186" s="1">
        <f>IF(H186="", AVERAGEIF('CLEANED DATASET'!$G$2:$G$532,G186,'CLEANED DATASET'!$H220),H186)</f>
        <v>7.3</v>
      </c>
      <c r="J186" s="1">
        <v>3.6</v>
      </c>
      <c r="K186" s="1">
        <f t="shared" si="18"/>
        <v>3.6</v>
      </c>
      <c r="L186" s="1">
        <v>7.4</v>
      </c>
      <c r="M186" s="1">
        <f t="shared" si="19"/>
        <v>7.4</v>
      </c>
      <c r="N186" s="1">
        <v>5.5</v>
      </c>
      <c r="O186" s="1">
        <f t="shared" si="20"/>
        <v>5.5</v>
      </c>
      <c r="P186" s="1">
        <v>1.3</v>
      </c>
      <c r="Q186" s="1">
        <f t="shared" si="25"/>
        <v>1.3</v>
      </c>
      <c r="R186" s="1" t="s">
        <v>580</v>
      </c>
      <c r="S186" s="1" t="str">
        <f>PROPER(Table3[[#This Row],[Cancer_Type]])</f>
        <v>Colon</v>
      </c>
      <c r="T186" s="1" t="s">
        <v>591</v>
      </c>
      <c r="U186" s="4">
        <v>41646.71</v>
      </c>
      <c r="V186" s="1">
        <v>4.8</v>
      </c>
      <c r="W186" s="1">
        <f t="shared" ca="1" si="21"/>
        <v>5</v>
      </c>
      <c r="X186" s="1">
        <v>5.51</v>
      </c>
      <c r="Y186" s="1" t="str">
        <f t="shared" si="22"/>
        <v>Stage II</v>
      </c>
      <c r="Z186" s="10">
        <f t="shared" si="24"/>
        <v>41646.71</v>
      </c>
    </row>
    <row r="187" spans="1:26">
      <c r="A187" s="1" t="s">
        <v>233</v>
      </c>
      <c r="B187" s="1">
        <v>82</v>
      </c>
      <c r="C187" s="1" t="s">
        <v>543</v>
      </c>
      <c r="D187" s="1" t="str">
        <f>PROPER(Table3[[#This Row],[Gender]])</f>
        <v>Female</v>
      </c>
      <c r="E187" s="1" t="s">
        <v>555</v>
      </c>
      <c r="F187" s="1" t="str">
        <f>PROPER(Table3[[#This Row],[Country_Region]])</f>
        <v>Russia</v>
      </c>
      <c r="G187" s="1">
        <v>2024</v>
      </c>
      <c r="H187" s="1">
        <v>4.2</v>
      </c>
      <c r="I187" s="1">
        <f>IF(H187="", AVERAGEIF('CLEANED DATASET'!$G$2:$G$532,G187,'CLEANED DATASET'!$H225),H187)</f>
        <v>4.2</v>
      </c>
      <c r="J187" s="1">
        <v>6.1</v>
      </c>
      <c r="K187" s="1">
        <f t="shared" si="18"/>
        <v>6.1</v>
      </c>
      <c r="L187" s="1">
        <v>1.4</v>
      </c>
      <c r="M187" s="1">
        <f t="shared" si="19"/>
        <v>1.4</v>
      </c>
      <c r="N187" s="1">
        <v>1.8</v>
      </c>
      <c r="O187" s="1">
        <f t="shared" si="20"/>
        <v>1.8</v>
      </c>
      <c r="P187" s="1">
        <v>3.7</v>
      </c>
      <c r="Q187" s="1">
        <f t="shared" si="25"/>
        <v>3.7</v>
      </c>
      <c r="R187" s="1" t="s">
        <v>571</v>
      </c>
      <c r="S187" s="1" t="str">
        <f>PROPER(Table3[[#This Row],[Cancer_Type]])</f>
        <v>Lung</v>
      </c>
      <c r="T187" s="1" t="s">
        <v>593</v>
      </c>
      <c r="U187" s="4">
        <v>87569.81</v>
      </c>
      <c r="V187" s="1">
        <f>ROUND(10-((I187+K187+M187+O187+Q187)/5),1)</f>
        <v>6.6</v>
      </c>
      <c r="W187" s="1">
        <f t="shared" ca="1" si="21"/>
        <v>8</v>
      </c>
      <c r="X187" s="1">
        <v>2.94</v>
      </c>
      <c r="Y187" s="1" t="str">
        <f t="shared" si="22"/>
        <v>Stage I</v>
      </c>
      <c r="Z187" s="10">
        <f t="shared" si="24"/>
        <v>87569.81</v>
      </c>
    </row>
    <row r="188" spans="1:26">
      <c r="A188" s="1" t="s">
        <v>361</v>
      </c>
      <c r="B188" s="1">
        <v>83</v>
      </c>
      <c r="C188" s="1" t="s">
        <v>542</v>
      </c>
      <c r="D188" s="1" t="str">
        <f>PROPER(Table3[[#This Row],[Gender]])</f>
        <v>Male</v>
      </c>
      <c r="E188" s="1" t="s">
        <v>550</v>
      </c>
      <c r="F188" s="1" t="str">
        <f>PROPER(Table3[[#This Row],[Country_Region]])</f>
        <v>Pakistan</v>
      </c>
      <c r="G188" s="1">
        <v>2024</v>
      </c>
      <c r="H188" s="1">
        <v>8.4</v>
      </c>
      <c r="I188" s="1">
        <f>IF(H188="", AVERAGEIF('CLEANED DATASET'!$G$2:$G$532,G188,'CLEANED DATASET'!$H353),H188)</f>
        <v>8.4</v>
      </c>
      <c r="J188" s="1">
        <v>4.3</v>
      </c>
      <c r="K188" s="1">
        <f t="shared" si="18"/>
        <v>4.3</v>
      </c>
      <c r="L188" s="1">
        <v>3.1</v>
      </c>
      <c r="M188" s="1">
        <f t="shared" si="19"/>
        <v>3.1</v>
      </c>
      <c r="N188" s="1">
        <v>3.8</v>
      </c>
      <c r="O188" s="1">
        <f t="shared" si="20"/>
        <v>3.8</v>
      </c>
      <c r="P188" s="1">
        <v>1.4</v>
      </c>
      <c r="Q188" s="1">
        <f t="shared" si="25"/>
        <v>1.4</v>
      </c>
      <c r="R188" s="1" t="s">
        <v>570</v>
      </c>
      <c r="S188" s="1" t="str">
        <f>PROPER(Table3[[#This Row],[Cancer_Type]])</f>
        <v>Skin</v>
      </c>
      <c r="T188" s="1" t="s">
        <v>590</v>
      </c>
      <c r="U188" s="4">
        <v>76060.02</v>
      </c>
      <c r="V188" s="1">
        <v>6.3</v>
      </c>
      <c r="W188" s="1">
        <f t="shared" ca="1" si="21"/>
        <v>6</v>
      </c>
      <c r="X188" s="1">
        <v>4.17</v>
      </c>
      <c r="Y188" s="1" t="str">
        <f t="shared" si="22"/>
        <v>Stage II</v>
      </c>
      <c r="Z188" s="10">
        <f t="shared" si="24"/>
        <v>76060.02</v>
      </c>
    </row>
    <row r="189" spans="1:26">
      <c r="A189" s="1" t="s">
        <v>418</v>
      </c>
      <c r="B189" s="1">
        <v>23</v>
      </c>
      <c r="C189" s="1" t="s">
        <v>541</v>
      </c>
      <c r="D189" s="1" t="str">
        <f>PROPER(Table3[[#This Row],[Gender]])</f>
        <v>Other</v>
      </c>
      <c r="E189" s="1" t="s">
        <v>551</v>
      </c>
      <c r="F189" s="1" t="str">
        <f>PROPER(Table3[[#This Row],[Country_Region]])</f>
        <v>Germany</v>
      </c>
      <c r="G189" s="1">
        <v>2024</v>
      </c>
      <c r="H189" s="1">
        <v>0.7</v>
      </c>
      <c r="I189" s="1">
        <f>IF(H189="", AVERAGEIF('CLEANED DATASET'!$G$2:$G$532,G189,'CLEANED DATASET'!$H410),H189)</f>
        <v>0.7</v>
      </c>
      <c r="J189" s="1">
        <v>3.3</v>
      </c>
      <c r="K189" s="1">
        <f t="shared" si="18"/>
        <v>3.3</v>
      </c>
      <c r="L189" s="1">
        <v>0.1</v>
      </c>
      <c r="M189" s="1">
        <f t="shared" si="19"/>
        <v>0.1</v>
      </c>
      <c r="N189" s="1">
        <v>2.2999999999999998</v>
      </c>
      <c r="O189" s="1">
        <f t="shared" si="20"/>
        <v>2.2999999999999998</v>
      </c>
      <c r="P189" s="1"/>
      <c r="Q189" s="1">
        <f t="shared" si="25"/>
        <v>3.86990291262136</v>
      </c>
      <c r="R189" s="1" t="s">
        <v>572</v>
      </c>
      <c r="S189" s="1" t="str">
        <f>PROPER(Table3[[#This Row],[Cancer_Type]])</f>
        <v>Leukemia</v>
      </c>
      <c r="T189" s="1" t="s">
        <v>594</v>
      </c>
      <c r="U189" s="4">
        <v>48116.31</v>
      </c>
      <c r="V189" s="1">
        <v>8.3000000000000007</v>
      </c>
      <c r="W189" s="1">
        <f t="shared" ca="1" si="21"/>
        <v>8</v>
      </c>
      <c r="X189" s="1">
        <v>2.67</v>
      </c>
      <c r="Y189" s="1" t="str">
        <f t="shared" si="22"/>
        <v>Stage I</v>
      </c>
      <c r="Z189" s="10">
        <f t="shared" si="24"/>
        <v>48116.31</v>
      </c>
    </row>
    <row r="190" spans="1:26">
      <c r="A190" s="1" t="s">
        <v>355</v>
      </c>
      <c r="B190" s="1">
        <v>60</v>
      </c>
      <c r="C190" s="1" t="s">
        <v>543</v>
      </c>
      <c r="D190" s="1" t="str">
        <f>PROPER(Table3[[#This Row],[Gender]])</f>
        <v>Female</v>
      </c>
      <c r="E190" s="1" t="s">
        <v>549</v>
      </c>
      <c r="F190" s="1" t="str">
        <f>PROPER(Table3[[#This Row],[Country_Region]])</f>
        <v>Australia</v>
      </c>
      <c r="G190" s="1">
        <v>2023</v>
      </c>
      <c r="H190" s="1">
        <v>0.9</v>
      </c>
      <c r="I190" s="1">
        <f>IF(H190="", AVERAGEIF('CLEANED DATASET'!$G$2:$G$532,G190,'CLEANED DATASET'!$H347),H190)</f>
        <v>0.9</v>
      </c>
      <c r="J190" s="1">
        <v>3.7</v>
      </c>
      <c r="K190" s="1">
        <f t="shared" si="18"/>
        <v>3.7</v>
      </c>
      <c r="L190" s="1">
        <v>3.6</v>
      </c>
      <c r="M190" s="1">
        <f t="shared" si="19"/>
        <v>3.6</v>
      </c>
      <c r="N190" s="1">
        <v>1.4</v>
      </c>
      <c r="O190" s="1">
        <f t="shared" si="20"/>
        <v>1.4</v>
      </c>
      <c r="P190" s="1">
        <v>4.3</v>
      </c>
      <c r="Q190" s="1">
        <f t="shared" si="25"/>
        <v>4.3</v>
      </c>
      <c r="R190" s="1" t="s">
        <v>572</v>
      </c>
      <c r="S190" s="1" t="str">
        <f>PROPER(Table3[[#This Row],[Cancer_Type]])</f>
        <v>Leukemia</v>
      </c>
      <c r="T190" s="1" t="s">
        <v>594</v>
      </c>
      <c r="U190" s="4"/>
      <c r="V190" s="1">
        <v>4.2</v>
      </c>
      <c r="W190" s="1">
        <f t="shared" ca="1" si="21"/>
        <v>8</v>
      </c>
      <c r="X190" s="1">
        <v>2.52</v>
      </c>
      <c r="Y190" s="1" t="str">
        <f t="shared" si="22"/>
        <v>Stage I</v>
      </c>
      <c r="Z190" s="10">
        <f t="shared" si="24"/>
        <v>54124.44</v>
      </c>
    </row>
    <row r="191" spans="1:26">
      <c r="A191" s="1" t="s">
        <v>40</v>
      </c>
      <c r="B191" s="1">
        <v>89</v>
      </c>
      <c r="C191" s="1" t="s">
        <v>543</v>
      </c>
      <c r="D191" s="1" t="str">
        <f>PROPER(Table3[[#This Row],[Gender]])</f>
        <v>Female</v>
      </c>
      <c r="E191" s="1" t="s">
        <v>552</v>
      </c>
      <c r="F191" s="1" t="str">
        <f>PROPER(Table3[[#This Row],[Country_Region]])</f>
        <v>China</v>
      </c>
      <c r="G191" s="1">
        <v>2022</v>
      </c>
      <c r="H191" s="1">
        <v>1.2</v>
      </c>
      <c r="I191" s="1">
        <f>IF(H191="", AVERAGEIF('CLEANED DATASET'!$G$2:$G$532,G191,'CLEANED DATASET'!$H32),H191)</f>
        <v>1.2</v>
      </c>
      <c r="J191" s="1">
        <v>1</v>
      </c>
      <c r="K191" s="1">
        <f t="shared" si="18"/>
        <v>1</v>
      </c>
      <c r="L191" s="1">
        <v>8.1</v>
      </c>
      <c r="M191" s="1">
        <f t="shared" si="19"/>
        <v>8.1</v>
      </c>
      <c r="N191" s="1">
        <v>4.3</v>
      </c>
      <c r="O191" s="1">
        <f t="shared" si="20"/>
        <v>4.3</v>
      </c>
      <c r="P191" s="1">
        <v>6.8</v>
      </c>
      <c r="Q191" s="1">
        <f t="shared" si="25"/>
        <v>6.8</v>
      </c>
      <c r="R191" s="1" t="s">
        <v>578</v>
      </c>
      <c r="S191" s="1" t="str">
        <f>PROPER(Table3[[#This Row],[Cancer_Type]])</f>
        <v>Liver</v>
      </c>
      <c r="T191" s="1" t="s">
        <v>593</v>
      </c>
      <c r="U191" s="4">
        <v>50944.79</v>
      </c>
      <c r="V191" s="1">
        <v>6.7</v>
      </c>
      <c r="W191" s="1">
        <f t="shared" ca="1" si="21"/>
        <v>2</v>
      </c>
      <c r="X191" s="3">
        <f>ROUND(I191+K191+M191+O191+Q191+(10-V191)/6, 2)</f>
        <v>21.95</v>
      </c>
      <c r="Y191" s="1" t="str">
        <f t="shared" si="22"/>
        <v>Stage IV</v>
      </c>
      <c r="Z191" s="10">
        <f t="shared" si="24"/>
        <v>50944.79</v>
      </c>
    </row>
    <row r="192" spans="1:26">
      <c r="A192" s="1" t="s">
        <v>86</v>
      </c>
      <c r="B192" s="1">
        <v>73</v>
      </c>
      <c r="C192" s="1" t="s">
        <v>542</v>
      </c>
      <c r="D192" s="1" t="str">
        <f>PROPER(Table3[[#This Row],[Gender]])</f>
        <v>Male</v>
      </c>
      <c r="E192" s="1" t="s">
        <v>556</v>
      </c>
      <c r="F192" s="1" t="str">
        <f>PROPER(Table3[[#This Row],[Country_Region]])</f>
        <v>India</v>
      </c>
      <c r="G192" s="1">
        <v>2023</v>
      </c>
      <c r="H192" s="1">
        <v>1.7</v>
      </c>
      <c r="I192" s="1">
        <f>IF(H192="", AVERAGEIF('CLEANED DATASET'!$G$2:$G$532,G192,'CLEANED DATASET'!$H78),H192)</f>
        <v>1.7</v>
      </c>
      <c r="J192" s="1">
        <v>9.6999999999999993</v>
      </c>
      <c r="K192" s="1">
        <f t="shared" si="18"/>
        <v>9.6999999999999993</v>
      </c>
      <c r="L192" s="1">
        <v>3.9</v>
      </c>
      <c r="M192" s="1">
        <f t="shared" si="19"/>
        <v>3.9</v>
      </c>
      <c r="N192" s="1"/>
      <c r="O192" s="3">
        <f t="shared" si="20"/>
        <v>4.7560747663551393</v>
      </c>
      <c r="P192" s="1">
        <v>6.1</v>
      </c>
      <c r="Q192" s="1">
        <f t="shared" si="25"/>
        <v>6.1</v>
      </c>
      <c r="R192" s="1" t="s">
        <v>570</v>
      </c>
      <c r="S192" s="1" t="str">
        <f>PROPER(Table3[[#This Row],[Cancer_Type]])</f>
        <v>Skin</v>
      </c>
      <c r="T192" s="1" t="s">
        <v>591</v>
      </c>
      <c r="U192" s="4">
        <v>10731.55</v>
      </c>
      <c r="V192" s="1">
        <v>1.7</v>
      </c>
      <c r="W192" s="1">
        <f t="shared" ca="1" si="21"/>
        <v>4</v>
      </c>
      <c r="X192" s="1">
        <v>6.16</v>
      </c>
      <c r="Y192" s="1" t="str">
        <f t="shared" si="22"/>
        <v>Stage III</v>
      </c>
      <c r="Z192" s="10">
        <f t="shared" si="24"/>
        <v>10731.55</v>
      </c>
    </row>
    <row r="193" spans="1:26">
      <c r="A193" s="1" t="s">
        <v>430</v>
      </c>
      <c r="B193" s="1">
        <v>89</v>
      </c>
      <c r="C193" s="1" t="s">
        <v>546</v>
      </c>
      <c r="D193" s="1" t="str">
        <f>PROPER(Table3[[#This Row],[Gender]])</f>
        <v>Unknown</v>
      </c>
      <c r="E193" s="1" t="s">
        <v>642</v>
      </c>
      <c r="F193" s="1" t="str">
        <f>PROPER(Table3[[#This Row],[Country_Region]])</f>
        <v>India</v>
      </c>
      <c r="G193" s="1">
        <v>2022</v>
      </c>
      <c r="H193" s="1">
        <v>0.3</v>
      </c>
      <c r="I193" s="1">
        <f>IF(H193="", AVERAGEIF('CLEANED DATASET'!$G$2:$G$532,G193,'CLEANED DATASET'!$H422),H193)</f>
        <v>0.3</v>
      </c>
      <c r="J193" s="1">
        <v>4.2</v>
      </c>
      <c r="K193" s="1">
        <f t="shared" si="18"/>
        <v>4.2</v>
      </c>
      <c r="L193" s="1">
        <v>0.6</v>
      </c>
      <c r="M193" s="1">
        <f t="shared" si="19"/>
        <v>0.6</v>
      </c>
      <c r="N193" s="1">
        <v>4.3</v>
      </c>
      <c r="O193" s="1">
        <f t="shared" si="20"/>
        <v>4.3</v>
      </c>
      <c r="P193" s="1">
        <v>6.6</v>
      </c>
      <c r="Q193" s="1">
        <f t="shared" si="25"/>
        <v>6.6</v>
      </c>
      <c r="R193" s="1" t="s">
        <v>571</v>
      </c>
      <c r="S193" s="1" t="str">
        <f>PROPER(Table3[[#This Row],[Cancer_Type]])</f>
        <v>Lung</v>
      </c>
      <c r="T193" s="1" t="s">
        <v>593</v>
      </c>
      <c r="U193" s="4"/>
      <c r="V193" s="1">
        <v>2.1</v>
      </c>
      <c r="W193" s="1">
        <f t="shared" ca="1" si="21"/>
        <v>8</v>
      </c>
      <c r="X193" s="1">
        <v>2.82</v>
      </c>
      <c r="Y193" s="1" t="str">
        <f t="shared" si="22"/>
        <v>Stage I</v>
      </c>
      <c r="Z193" s="10">
        <f t="shared" si="24"/>
        <v>49042</v>
      </c>
    </row>
    <row r="194" spans="1:26">
      <c r="A194" s="1" t="s">
        <v>393</v>
      </c>
      <c r="B194" s="1">
        <v>56</v>
      </c>
      <c r="C194" s="1" t="s">
        <v>543</v>
      </c>
      <c r="D194" s="1" t="str">
        <f>PROPER(Table3[[#This Row],[Gender]])</f>
        <v>Female</v>
      </c>
      <c r="E194" s="1" t="s">
        <v>560</v>
      </c>
      <c r="F194" s="1" t="str">
        <f>PROPER(Table3[[#This Row],[Country_Region]])</f>
        <v>Usa</v>
      </c>
      <c r="G194" s="1">
        <v>2024</v>
      </c>
      <c r="H194" s="1">
        <v>1.1000000000000001</v>
      </c>
      <c r="I194" s="1">
        <f>IF(H194="", AVERAGEIF('CLEANED DATASET'!$G$2:$G$532,G194,'CLEANED DATASET'!$H385),H194)</f>
        <v>1.1000000000000001</v>
      </c>
      <c r="J194" s="1">
        <v>1.6</v>
      </c>
      <c r="K194" s="1">
        <f t="shared" ref="K194:K257" si="26">IF(J194="",ROUND(AVERAGEIF(G198:G724,G194,J194:J724),1),J194)</f>
        <v>1.6</v>
      </c>
      <c r="L194" s="1">
        <v>0.8</v>
      </c>
      <c r="M194" s="1">
        <f t="shared" ref="M194:M257" si="27">IF(L194="", AVERAGEIF(G194:G724, G194,L194:L724),L194)</f>
        <v>0.8</v>
      </c>
      <c r="N194" s="1">
        <v>6.3</v>
      </c>
      <c r="O194" s="1">
        <f t="shared" ref="O194:O257" si="28">IF(N194="",AVERAGEIF(G194:G724,G194,N194:N724),N194)</f>
        <v>6.3</v>
      </c>
      <c r="P194" s="1">
        <v>7.3</v>
      </c>
      <c r="Q194" s="1">
        <f t="shared" si="25"/>
        <v>7.3</v>
      </c>
      <c r="R194" s="1" t="s">
        <v>576</v>
      </c>
      <c r="S194" s="1" t="str">
        <f>PROPER(Table3[[#This Row],[Cancer_Type]])</f>
        <v>Cervical</v>
      </c>
      <c r="T194" s="1" t="s">
        <v>593</v>
      </c>
      <c r="U194" s="4">
        <v>43298.92</v>
      </c>
      <c r="V194" s="1">
        <v>4.5</v>
      </c>
      <c r="W194" s="1">
        <f t="shared" ref="W194:W257" ca="1" si="29">IF(Y194="Stage 0",RANDBETWEEN(9,10),
IF(Y194="Stage I",RANDBETWEEN(7,8),
IF(Y194="Stage II",RANDBETWEEN(5,6),
IF(Y194="Stage III",RANDBETWEEN(3,4),
IF(Y194="Stage IV",RANDBETWEEN(1,2),"")))))</f>
        <v>8</v>
      </c>
      <c r="X194" s="1">
        <v>3.7</v>
      </c>
      <c r="Y194" s="1" t="str">
        <f t="shared" ref="Y194:Y257" si="30">IF(X194&lt;=2,"Stage 0",IF(X194&lt;=4,"Stage I",IF(X194&lt;=6,"Stage II",IF(X194&lt;=8,"Stage III", "Stage IV"))))</f>
        <v>Stage I</v>
      </c>
      <c r="Z194" s="10">
        <f t="shared" si="24"/>
        <v>43298.92</v>
      </c>
    </row>
    <row r="195" spans="1:26">
      <c r="A195" s="1" t="s">
        <v>232</v>
      </c>
      <c r="B195" s="1">
        <v>80</v>
      </c>
      <c r="C195" s="1" t="s">
        <v>541</v>
      </c>
      <c r="D195" s="1" t="str">
        <f>PROPER(Table3[[#This Row],[Gender]])</f>
        <v>Other</v>
      </c>
      <c r="E195" s="1" t="s">
        <v>552</v>
      </c>
      <c r="F195" s="1" t="str">
        <f>PROPER(Table3[[#This Row],[Country_Region]])</f>
        <v>China</v>
      </c>
      <c r="G195" s="1">
        <v>2024</v>
      </c>
      <c r="H195" s="1">
        <v>0.5</v>
      </c>
      <c r="I195" s="1">
        <f>IF(H195="", AVERAGEIF('CLEANED DATASET'!$G$2:$G$532,G195,'CLEANED DATASET'!$H224),H195)</f>
        <v>0.5</v>
      </c>
      <c r="J195" s="1">
        <v>0.4</v>
      </c>
      <c r="K195" s="1">
        <f t="shared" si="26"/>
        <v>0.4</v>
      </c>
      <c r="L195" s="1">
        <v>5.2</v>
      </c>
      <c r="M195" s="1">
        <f t="shared" si="27"/>
        <v>5.2</v>
      </c>
      <c r="N195" s="1"/>
      <c r="O195" s="3">
        <f t="shared" si="28"/>
        <v>5.2099009900990101</v>
      </c>
      <c r="P195" s="1">
        <v>6.6</v>
      </c>
      <c r="Q195" s="1">
        <f t="shared" si="25"/>
        <v>6.6</v>
      </c>
      <c r="R195" s="1" t="s">
        <v>572</v>
      </c>
      <c r="S195" s="1" t="str">
        <f>PROPER(Table3[[#This Row],[Cancer_Type]])</f>
        <v>Leukemia</v>
      </c>
      <c r="T195" s="1" t="s">
        <v>592</v>
      </c>
      <c r="U195" s="4">
        <v>32827.29</v>
      </c>
      <c r="V195" s="1">
        <v>0.6</v>
      </c>
      <c r="W195" s="1">
        <f t="shared" ca="1" si="29"/>
        <v>8</v>
      </c>
      <c r="X195" s="1">
        <v>3.28</v>
      </c>
      <c r="Y195" s="1" t="str">
        <f t="shared" si="30"/>
        <v>Stage I</v>
      </c>
      <c r="Z195" s="10">
        <f t="shared" si="24"/>
        <v>32827.29</v>
      </c>
    </row>
    <row r="196" spans="1:26">
      <c r="A196" s="1" t="s">
        <v>261</v>
      </c>
      <c r="B196" s="1">
        <v>54</v>
      </c>
      <c r="C196" s="1" t="s">
        <v>542</v>
      </c>
      <c r="D196" s="1" t="str">
        <f>PROPER(Table3[[#This Row],[Gender]])</f>
        <v>Male</v>
      </c>
      <c r="E196" s="1" t="s">
        <v>553</v>
      </c>
      <c r="F196" s="1" t="str">
        <f>PROPER(Table3[[#This Row],[Country_Region]])</f>
        <v>Canada</v>
      </c>
      <c r="G196" s="1">
        <v>2022</v>
      </c>
      <c r="H196" s="1">
        <v>9.6</v>
      </c>
      <c r="I196" s="1">
        <f>IF(H196="", AVERAGEIF('CLEANED DATASET'!$G$2:$G$532,G196,'CLEANED DATASET'!$H253),H196)</f>
        <v>9.6</v>
      </c>
      <c r="J196" s="1">
        <v>1.7</v>
      </c>
      <c r="K196" s="1">
        <f t="shared" si="26"/>
        <v>1.7</v>
      </c>
      <c r="L196" s="1">
        <v>3.3</v>
      </c>
      <c r="M196" s="1">
        <f t="shared" si="27"/>
        <v>3.3</v>
      </c>
      <c r="N196" s="1">
        <v>8.5</v>
      </c>
      <c r="O196" s="1">
        <f t="shared" si="28"/>
        <v>8.5</v>
      </c>
      <c r="P196" s="1">
        <v>6.6</v>
      </c>
      <c r="Q196" s="1">
        <f t="shared" si="25"/>
        <v>6.6</v>
      </c>
      <c r="R196" s="1" t="s">
        <v>603</v>
      </c>
      <c r="S196" s="1" t="str">
        <f>PROPER(Table3[[#This Row],[Cancer_Type]])</f>
        <v>Unknown</v>
      </c>
      <c r="T196" s="1" t="s">
        <v>594</v>
      </c>
      <c r="U196" s="8">
        <v>95189.39</v>
      </c>
      <c r="V196" s="1">
        <v>4.5999999999999996</v>
      </c>
      <c r="W196" s="1">
        <f t="shared" ca="1" si="29"/>
        <v>5</v>
      </c>
      <c r="X196" s="1">
        <v>5.13</v>
      </c>
      <c r="Y196" s="1" t="str">
        <f t="shared" si="30"/>
        <v>Stage II</v>
      </c>
      <c r="Z196" s="10">
        <f t="shared" si="24"/>
        <v>95189.39</v>
      </c>
    </row>
    <row r="197" spans="1:26">
      <c r="A197" s="1" t="s">
        <v>141</v>
      </c>
      <c r="B197" s="1">
        <v>45</v>
      </c>
      <c r="C197" s="1" t="s">
        <v>542</v>
      </c>
      <c r="D197" s="1" t="str">
        <f>PROPER(Table3[[#This Row],[Gender]])</f>
        <v>Male</v>
      </c>
      <c r="E197" s="1" t="s">
        <v>553</v>
      </c>
      <c r="F197" s="1" t="str">
        <f>PROPER(Table3[[#This Row],[Country_Region]])</f>
        <v>Canada</v>
      </c>
      <c r="G197" s="1">
        <v>2024</v>
      </c>
      <c r="H197" s="1">
        <v>6.6</v>
      </c>
      <c r="I197" s="1">
        <f>IF(H197="", AVERAGEIF('CLEANED DATASET'!$G$2:$G$532,G197,'CLEANED DATASET'!$H133),H197)</f>
        <v>6.6</v>
      </c>
      <c r="J197" s="1">
        <v>0.1</v>
      </c>
      <c r="K197" s="1">
        <f t="shared" si="26"/>
        <v>0.1</v>
      </c>
      <c r="L197" s="1">
        <v>5.9</v>
      </c>
      <c r="M197" s="1">
        <f t="shared" si="27"/>
        <v>5.9</v>
      </c>
      <c r="N197" s="1">
        <v>9.9</v>
      </c>
      <c r="O197" s="1">
        <f t="shared" si="28"/>
        <v>9.9</v>
      </c>
      <c r="P197" s="1">
        <v>1</v>
      </c>
      <c r="Q197" s="1">
        <f t="shared" si="25"/>
        <v>1</v>
      </c>
      <c r="R197" s="1" t="s">
        <v>579</v>
      </c>
      <c r="S197" s="1" t="str">
        <f>PROPER(Table3[[#This Row],[Cancer_Type]])</f>
        <v>Prostate</v>
      </c>
      <c r="T197" s="1" t="s">
        <v>593</v>
      </c>
      <c r="U197" s="4">
        <v>62010.16</v>
      </c>
      <c r="V197" s="1">
        <v>1.5</v>
      </c>
      <c r="W197" s="1">
        <f t="shared" ca="1" si="29"/>
        <v>6</v>
      </c>
      <c r="X197" s="1">
        <v>5.0599999999999996</v>
      </c>
      <c r="Y197" s="1" t="str">
        <f t="shared" si="30"/>
        <v>Stage II</v>
      </c>
      <c r="Z197" s="10">
        <f t="shared" si="24"/>
        <v>62010.16</v>
      </c>
    </row>
    <row r="198" spans="1:26">
      <c r="A198" s="1" t="s">
        <v>299</v>
      </c>
      <c r="B198" s="1">
        <v>87</v>
      </c>
      <c r="C198" s="1" t="s">
        <v>543</v>
      </c>
      <c r="D198" s="1" t="str">
        <f>PROPER(Table3[[#This Row],[Gender]])</f>
        <v>Female</v>
      </c>
      <c r="E198" s="1" t="s">
        <v>554</v>
      </c>
      <c r="F198" s="1" t="str">
        <f>PROPER(Table3[[#This Row],[Country_Region]])</f>
        <v>Brazil</v>
      </c>
      <c r="G198" s="1">
        <v>2022</v>
      </c>
      <c r="H198" s="1">
        <v>1.3</v>
      </c>
      <c r="I198" s="1">
        <f>IF(H198="", AVERAGEIF('CLEANED DATASET'!$G$2:$G$532,G198,'CLEANED DATASET'!$H291),H198)</f>
        <v>1.3</v>
      </c>
      <c r="J198" s="1">
        <v>9.1999999999999993</v>
      </c>
      <c r="K198" s="1">
        <f t="shared" si="26"/>
        <v>9.1999999999999993</v>
      </c>
      <c r="L198" s="1">
        <v>8.1999999999999993</v>
      </c>
      <c r="M198" s="1">
        <f t="shared" si="27"/>
        <v>8.1999999999999993</v>
      </c>
      <c r="N198" s="1">
        <v>2.9</v>
      </c>
      <c r="O198" s="1">
        <f t="shared" si="28"/>
        <v>2.9</v>
      </c>
      <c r="P198" s="1">
        <v>2.2000000000000002</v>
      </c>
      <c r="Q198" s="1">
        <f t="shared" si="25"/>
        <v>2.2000000000000002</v>
      </c>
      <c r="R198" s="1" t="s">
        <v>578</v>
      </c>
      <c r="S198" s="1" t="str">
        <f>PROPER(Table3[[#This Row],[Cancer_Type]])</f>
        <v>Liver</v>
      </c>
      <c r="T198" s="1" t="s">
        <v>592</v>
      </c>
      <c r="U198" s="4">
        <v>96566.96</v>
      </c>
      <c r="V198" s="1">
        <v>2.4</v>
      </c>
      <c r="W198" s="1">
        <f t="shared" ca="1" si="29"/>
        <v>7</v>
      </c>
      <c r="X198" s="1">
        <v>3.74</v>
      </c>
      <c r="Y198" s="1" t="str">
        <f t="shared" si="30"/>
        <v>Stage I</v>
      </c>
      <c r="Z198" s="10">
        <f t="shared" si="24"/>
        <v>96566.96</v>
      </c>
    </row>
    <row r="199" spans="1:26">
      <c r="A199" s="1" t="s">
        <v>310</v>
      </c>
      <c r="B199" s="1">
        <v>69</v>
      </c>
      <c r="C199" s="1" t="s">
        <v>541</v>
      </c>
      <c r="D199" s="1" t="str">
        <f>PROPER(Table3[[#This Row],[Gender]])</f>
        <v>Other</v>
      </c>
      <c r="E199" s="1" t="s">
        <v>556</v>
      </c>
      <c r="F199" s="1" t="str">
        <f>PROPER(Table3[[#This Row],[Country_Region]])</f>
        <v>India</v>
      </c>
      <c r="G199" s="1">
        <v>2024</v>
      </c>
      <c r="H199" s="1">
        <v>3.5</v>
      </c>
      <c r="I199" s="1">
        <f>IF(H199="", AVERAGEIF('CLEANED DATASET'!$G$2:$G$532,G199,'CLEANED DATASET'!$H302),H199)</f>
        <v>3.5</v>
      </c>
      <c r="J199" s="1">
        <v>1</v>
      </c>
      <c r="K199" s="1">
        <f t="shared" si="26"/>
        <v>1</v>
      </c>
      <c r="L199" s="1">
        <v>7.3</v>
      </c>
      <c r="M199" s="1">
        <f t="shared" si="27"/>
        <v>7.3</v>
      </c>
      <c r="N199" s="1">
        <v>6.5</v>
      </c>
      <c r="O199" s="1">
        <f t="shared" si="28"/>
        <v>6.5</v>
      </c>
      <c r="P199" s="1">
        <v>8.3000000000000007</v>
      </c>
      <c r="Q199" s="1">
        <f t="shared" si="25"/>
        <v>8.3000000000000007</v>
      </c>
      <c r="R199" s="1" t="s">
        <v>576</v>
      </c>
      <c r="S199" s="1" t="str">
        <f>PROPER(Table3[[#This Row],[Cancer_Type]])</f>
        <v>Cervical</v>
      </c>
      <c r="T199" s="1" t="s">
        <v>593</v>
      </c>
      <c r="U199" s="4">
        <v>40930.519999999997</v>
      </c>
      <c r="V199" s="1">
        <v>5.8</v>
      </c>
      <c r="W199" s="1">
        <f t="shared" ca="1" si="29"/>
        <v>6</v>
      </c>
      <c r="X199" s="1">
        <v>5.26</v>
      </c>
      <c r="Y199" s="1" t="str">
        <f t="shared" si="30"/>
        <v>Stage II</v>
      </c>
      <c r="Z199" s="10">
        <f t="shared" si="24"/>
        <v>40930.519999999997</v>
      </c>
    </row>
    <row r="200" spans="1:26">
      <c r="A200" s="1" t="s">
        <v>379</v>
      </c>
      <c r="B200" s="1">
        <v>35</v>
      </c>
      <c r="C200" s="1" t="s">
        <v>543</v>
      </c>
      <c r="D200" s="1" t="str">
        <f>PROPER(Table3[[#This Row],[Gender]])</f>
        <v>Female</v>
      </c>
      <c r="E200" s="1" t="s">
        <v>553</v>
      </c>
      <c r="F200" s="1" t="str">
        <f>PROPER(Table3[[#This Row],[Country_Region]])</f>
        <v>Canada</v>
      </c>
      <c r="G200" s="1">
        <v>2022</v>
      </c>
      <c r="H200" s="1">
        <v>8.3000000000000007</v>
      </c>
      <c r="I200" s="1">
        <f>IF(H200="", AVERAGEIF('CLEANED DATASET'!$G$2:$G$532,G200,'CLEANED DATASET'!$H371),H200)</f>
        <v>8.3000000000000007</v>
      </c>
      <c r="J200" s="1">
        <v>9.8000000000000007</v>
      </c>
      <c r="K200" s="1">
        <f t="shared" si="26"/>
        <v>9.8000000000000007</v>
      </c>
      <c r="L200" s="1">
        <v>8.3000000000000007</v>
      </c>
      <c r="M200" s="1">
        <f t="shared" si="27"/>
        <v>8.3000000000000007</v>
      </c>
      <c r="N200" s="1">
        <v>8.4</v>
      </c>
      <c r="O200" s="1">
        <f t="shared" si="28"/>
        <v>8.4</v>
      </c>
      <c r="P200" s="1">
        <v>4.8</v>
      </c>
      <c r="Q200" s="1">
        <f t="shared" si="25"/>
        <v>4.8</v>
      </c>
      <c r="R200" s="1" t="s">
        <v>574</v>
      </c>
      <c r="S200" s="1" t="str">
        <f>PROPER(Table3[[#This Row],[Cancer_Type]])</f>
        <v>Colon</v>
      </c>
      <c r="T200" s="1" t="s">
        <v>592</v>
      </c>
      <c r="U200" s="4">
        <v>14037.39</v>
      </c>
      <c r="V200" s="1">
        <v>7.2</v>
      </c>
      <c r="W200" s="1">
        <f t="shared" ca="1" si="29"/>
        <v>2</v>
      </c>
      <c r="X200" s="1">
        <v>8.25</v>
      </c>
      <c r="Y200" s="1" t="str">
        <f t="shared" si="30"/>
        <v>Stage IV</v>
      </c>
      <c r="Z200" s="10">
        <f t="shared" si="24"/>
        <v>14037.39</v>
      </c>
    </row>
    <row r="201" spans="1:26">
      <c r="A201" s="1" t="s">
        <v>248</v>
      </c>
      <c r="B201" s="1">
        <v>59</v>
      </c>
      <c r="C201" s="1" t="s">
        <v>542</v>
      </c>
      <c r="D201" s="1" t="str">
        <f>PROPER(Table3[[#This Row],[Gender]])</f>
        <v>Male</v>
      </c>
      <c r="E201" s="1" t="s">
        <v>566</v>
      </c>
      <c r="F201" s="1" t="str">
        <f>PROPER(Table3[[#This Row],[Country_Region]])</f>
        <v>Pakistan</v>
      </c>
      <c r="G201" s="1">
        <v>2023</v>
      </c>
      <c r="H201" s="1">
        <v>3.2</v>
      </c>
      <c r="I201" s="1">
        <f>IF(H201="", AVERAGEIF('CLEANED DATASET'!$G$2:$G$532,G201,'CLEANED DATASET'!$H240),H201)</f>
        <v>3.2</v>
      </c>
      <c r="J201" s="1">
        <v>6.2</v>
      </c>
      <c r="K201" s="1">
        <f t="shared" si="26"/>
        <v>6.2</v>
      </c>
      <c r="L201" s="1">
        <v>5</v>
      </c>
      <c r="M201" s="1">
        <f t="shared" si="27"/>
        <v>5</v>
      </c>
      <c r="N201" s="1">
        <v>4</v>
      </c>
      <c r="O201" s="1">
        <f t="shared" si="28"/>
        <v>4</v>
      </c>
      <c r="P201" s="1">
        <v>5.9</v>
      </c>
      <c r="Q201" s="1">
        <f t="shared" si="25"/>
        <v>5.9</v>
      </c>
      <c r="R201" s="1" t="s">
        <v>579</v>
      </c>
      <c r="S201" s="1" t="str">
        <f>PROPER(Table3[[#This Row],[Cancer_Type]])</f>
        <v>Prostate</v>
      </c>
      <c r="T201" s="1" t="s">
        <v>592</v>
      </c>
      <c r="U201" s="4">
        <v>54997.16</v>
      </c>
      <c r="V201" s="1">
        <v>6.7</v>
      </c>
      <c r="W201" s="1">
        <f t="shared" ca="1" si="29"/>
        <v>6</v>
      </c>
      <c r="X201" s="1">
        <v>4.6100000000000003</v>
      </c>
      <c r="Y201" s="1" t="str">
        <f t="shared" si="30"/>
        <v>Stage II</v>
      </c>
      <c r="Z201" s="10">
        <f t="shared" ref="Z201:Z264" si="31">IF(U201&lt;&gt;"",U201,ROUND(AVERAGEIF(S201:S731,S201,U201:U731),2))</f>
        <v>54997.16</v>
      </c>
    </row>
    <row r="202" spans="1:26">
      <c r="A202" s="1" t="s">
        <v>244</v>
      </c>
      <c r="B202" s="1">
        <v>77</v>
      </c>
      <c r="C202" s="1" t="s">
        <v>547</v>
      </c>
      <c r="D202" s="1" t="str">
        <f>PROPER(Table3[[#This Row],[Gender]])</f>
        <v>Male</v>
      </c>
      <c r="E202" s="1" t="s">
        <v>549</v>
      </c>
      <c r="F202" s="1" t="str">
        <f>PROPER(Table3[[#This Row],[Country_Region]])</f>
        <v>Australia</v>
      </c>
      <c r="G202" s="1">
        <v>2023</v>
      </c>
      <c r="H202" s="1">
        <v>8.4</v>
      </c>
      <c r="I202" s="1">
        <f>IF(H202="", AVERAGEIF('CLEANED DATASET'!$G$2:$G$532,G202,'CLEANED DATASET'!$H236),H202)</f>
        <v>8.4</v>
      </c>
      <c r="J202" s="1">
        <v>9.8000000000000007</v>
      </c>
      <c r="K202" s="1">
        <f t="shared" si="26"/>
        <v>9.8000000000000007</v>
      </c>
      <c r="L202" s="1">
        <v>3.1</v>
      </c>
      <c r="M202" s="1">
        <f t="shared" si="27"/>
        <v>3.1</v>
      </c>
      <c r="N202" s="1">
        <v>6.1</v>
      </c>
      <c r="O202" s="1">
        <f t="shared" si="28"/>
        <v>6.1</v>
      </c>
      <c r="P202" s="1">
        <v>5.9</v>
      </c>
      <c r="Q202" s="1">
        <f t="shared" si="25"/>
        <v>5.9</v>
      </c>
      <c r="R202" s="1" t="s">
        <v>576</v>
      </c>
      <c r="S202" s="1" t="str">
        <f>PROPER(Table3[[#This Row],[Cancer_Type]])</f>
        <v>Cervical</v>
      </c>
      <c r="T202" s="1" t="s">
        <v>592</v>
      </c>
      <c r="U202" s="4">
        <v>21387.21</v>
      </c>
      <c r="V202" s="1">
        <v>9.6999999999999993</v>
      </c>
      <c r="W202" s="1">
        <f t="shared" ca="1" si="29"/>
        <v>4</v>
      </c>
      <c r="X202" s="1">
        <v>7</v>
      </c>
      <c r="Y202" s="1" t="str">
        <f t="shared" si="30"/>
        <v>Stage III</v>
      </c>
      <c r="Z202" s="10">
        <f t="shared" si="31"/>
        <v>21387.21</v>
      </c>
    </row>
    <row r="203" spans="1:26">
      <c r="A203" s="1" t="s">
        <v>327</v>
      </c>
      <c r="B203" s="1">
        <v>80</v>
      </c>
      <c r="C203" s="1" t="s">
        <v>541</v>
      </c>
      <c r="D203" s="1" t="str">
        <f>PROPER(Table3[[#This Row],[Gender]])</f>
        <v>Other</v>
      </c>
      <c r="E203" s="1" t="s">
        <v>553</v>
      </c>
      <c r="F203" s="1" t="str">
        <f>PROPER(Table3[[#This Row],[Country_Region]])</f>
        <v>Canada</v>
      </c>
      <c r="G203" s="1">
        <v>2023</v>
      </c>
      <c r="H203" s="1">
        <v>3.3</v>
      </c>
      <c r="I203" s="1">
        <f>IF(H203="", AVERAGEIF('CLEANED DATASET'!$G$2:$G$532,G203,'CLEANED DATASET'!$H319),H203)</f>
        <v>3.3</v>
      </c>
      <c r="J203" s="1">
        <v>6.5</v>
      </c>
      <c r="K203" s="1">
        <f t="shared" si="26"/>
        <v>6.5</v>
      </c>
      <c r="L203" s="1">
        <v>9.6999999999999993</v>
      </c>
      <c r="M203" s="1">
        <f t="shared" si="27"/>
        <v>9.6999999999999993</v>
      </c>
      <c r="N203" s="1">
        <v>4</v>
      </c>
      <c r="O203" s="1">
        <f t="shared" si="28"/>
        <v>4</v>
      </c>
      <c r="P203" s="1">
        <v>5.4</v>
      </c>
      <c r="Q203" s="1">
        <f t="shared" si="25"/>
        <v>5.4</v>
      </c>
      <c r="R203" s="1" t="s">
        <v>571</v>
      </c>
      <c r="S203" s="1" t="str">
        <f>PROPER(Table3[[#This Row],[Cancer_Type]])</f>
        <v>Lung</v>
      </c>
      <c r="T203" s="1" t="s">
        <v>591</v>
      </c>
      <c r="U203" s="4">
        <v>91537.79</v>
      </c>
      <c r="V203" s="1">
        <v>9.1999999999999993</v>
      </c>
      <c r="W203" s="1">
        <f t="shared" ca="1" si="29"/>
        <v>5</v>
      </c>
      <c r="X203" s="1">
        <v>4.5999999999999996</v>
      </c>
      <c r="Y203" s="1" t="str">
        <f t="shared" si="30"/>
        <v>Stage II</v>
      </c>
      <c r="Z203" s="10">
        <f t="shared" si="31"/>
        <v>91537.79</v>
      </c>
    </row>
    <row r="204" spans="1:26">
      <c r="A204" s="1" t="s">
        <v>202</v>
      </c>
      <c r="B204" s="1">
        <v>27</v>
      </c>
      <c r="C204" s="1" t="s">
        <v>542</v>
      </c>
      <c r="D204" s="1" t="str">
        <f>PROPER(Table3[[#This Row],[Gender]])</f>
        <v>Male</v>
      </c>
      <c r="E204" s="1" t="s">
        <v>627</v>
      </c>
      <c r="F204" s="1" t="str">
        <f>PROPER(Table3[[#This Row],[Country_Region]])</f>
        <v>India</v>
      </c>
      <c r="G204" s="1">
        <v>2022</v>
      </c>
      <c r="H204" s="1">
        <v>0.4</v>
      </c>
      <c r="I204" s="1">
        <f>IF(H204="", AVERAGEIF('CLEANED DATASET'!$G$2:$G$532,G204,'CLEANED DATASET'!$H194),H204)</f>
        <v>0.4</v>
      </c>
      <c r="J204" s="1">
        <v>5.8</v>
      </c>
      <c r="K204" s="1">
        <f t="shared" si="26"/>
        <v>5.8</v>
      </c>
      <c r="L204" s="1">
        <v>0.3</v>
      </c>
      <c r="M204" s="1">
        <f t="shared" si="27"/>
        <v>0.3</v>
      </c>
      <c r="N204" s="1"/>
      <c r="O204" s="3">
        <f t="shared" si="28"/>
        <v>4.4972477064220175</v>
      </c>
      <c r="P204" s="1">
        <v>2.2999999999999998</v>
      </c>
      <c r="Q204" s="1">
        <f t="shared" si="25"/>
        <v>2.2999999999999998</v>
      </c>
      <c r="R204" s="1" t="s">
        <v>578</v>
      </c>
      <c r="S204" s="1" t="str">
        <f>PROPER(Table3[[#This Row],[Cancer_Type]])</f>
        <v>Liver</v>
      </c>
      <c r="T204" s="1" t="s">
        <v>590</v>
      </c>
      <c r="U204" s="4">
        <v>25337.75</v>
      </c>
      <c r="V204" s="1">
        <v>7.8</v>
      </c>
      <c r="W204" s="1">
        <f t="shared" ca="1" si="29"/>
        <v>7</v>
      </c>
      <c r="X204" s="1">
        <v>3.18</v>
      </c>
      <c r="Y204" s="1" t="str">
        <f t="shared" si="30"/>
        <v>Stage I</v>
      </c>
      <c r="Z204" s="10">
        <f t="shared" si="31"/>
        <v>25337.75</v>
      </c>
    </row>
    <row r="205" spans="1:26">
      <c r="A205" s="1" t="s">
        <v>309</v>
      </c>
      <c r="B205" s="1">
        <v>20</v>
      </c>
      <c r="C205" s="1" t="s">
        <v>542</v>
      </c>
      <c r="D205" s="1" t="str">
        <f>PROPER(Table3[[#This Row],[Gender]])</f>
        <v>Male</v>
      </c>
      <c r="E205" s="5" t="s">
        <v>560</v>
      </c>
      <c r="F205" s="1" t="str">
        <f>PROPER(Table3[[#This Row],[Country_Region]])</f>
        <v>Usa</v>
      </c>
      <c r="G205" s="1">
        <v>2023</v>
      </c>
      <c r="H205" s="1">
        <v>6.6</v>
      </c>
      <c r="I205" s="1">
        <f>IF(H205="", AVERAGEIF('CLEANED DATASET'!$G$2:$G$532,G205,'CLEANED DATASET'!$H301),H205)</f>
        <v>6.6</v>
      </c>
      <c r="J205" s="1">
        <v>1.6</v>
      </c>
      <c r="K205" s="1">
        <f t="shared" si="26"/>
        <v>1.6</v>
      </c>
      <c r="L205" s="1">
        <v>5.5</v>
      </c>
      <c r="M205" s="1">
        <f t="shared" si="27"/>
        <v>5.5</v>
      </c>
      <c r="N205" s="1">
        <v>0.2</v>
      </c>
      <c r="O205" s="1">
        <f t="shared" si="28"/>
        <v>0.2</v>
      </c>
      <c r="P205" s="1">
        <v>1.6</v>
      </c>
      <c r="Q205" s="1">
        <f t="shared" si="25"/>
        <v>1.6</v>
      </c>
      <c r="R205" s="1" t="s">
        <v>578</v>
      </c>
      <c r="S205" s="1" t="str">
        <f>PROPER(Table3[[#This Row],[Cancer_Type]])</f>
        <v>Liver</v>
      </c>
      <c r="T205" s="1" t="s">
        <v>594</v>
      </c>
      <c r="U205" s="4">
        <v>26551.57</v>
      </c>
      <c r="V205" s="1">
        <v>3.7</v>
      </c>
      <c r="W205" s="1">
        <f t="shared" ca="1" si="29"/>
        <v>2</v>
      </c>
      <c r="X205" s="3">
        <f>ROUND(I205+K205+M205+O205+Q205+(10-V205)/6, 2)</f>
        <v>16.55</v>
      </c>
      <c r="Y205" s="1" t="str">
        <f t="shared" si="30"/>
        <v>Stage IV</v>
      </c>
      <c r="Z205" s="10">
        <f t="shared" si="31"/>
        <v>26551.57</v>
      </c>
    </row>
    <row r="206" spans="1:26">
      <c r="A206" s="1" t="s">
        <v>50</v>
      </c>
      <c r="B206" s="1">
        <v>80</v>
      </c>
      <c r="C206" s="1" t="s">
        <v>543</v>
      </c>
      <c r="D206" s="1" t="str">
        <f>PROPER(Table3[[#This Row],[Gender]])</f>
        <v>Female</v>
      </c>
      <c r="E206" s="1" t="s">
        <v>556</v>
      </c>
      <c r="F206" s="1" t="str">
        <f>PROPER(Table3[[#This Row],[Country_Region]])</f>
        <v>India</v>
      </c>
      <c r="G206" s="1">
        <v>2022</v>
      </c>
      <c r="H206" s="1">
        <v>0.5</v>
      </c>
      <c r="I206" s="1">
        <f>IF(H206="", AVERAGEIF('CLEANED DATASET'!$G$2:$G$532,G206,'CLEANED DATASET'!$H42),H206)</f>
        <v>0.5</v>
      </c>
      <c r="J206" s="1">
        <v>6.1</v>
      </c>
      <c r="K206" s="1">
        <f t="shared" si="26"/>
        <v>6.1</v>
      </c>
      <c r="L206" s="1">
        <v>2.6</v>
      </c>
      <c r="M206" s="1">
        <f t="shared" si="27"/>
        <v>2.6</v>
      </c>
      <c r="N206" s="1">
        <v>4.5999999999999996</v>
      </c>
      <c r="O206" s="1">
        <f t="shared" si="28"/>
        <v>4.5999999999999996</v>
      </c>
      <c r="P206" s="1">
        <v>3.5</v>
      </c>
      <c r="Q206" s="1">
        <f t="shared" si="25"/>
        <v>3.5</v>
      </c>
      <c r="R206" s="1" t="s">
        <v>579</v>
      </c>
      <c r="S206" s="1" t="str">
        <f>PROPER(Table3[[#This Row],[Cancer_Type]])</f>
        <v>Prostate</v>
      </c>
      <c r="T206" s="1" t="s">
        <v>593</v>
      </c>
      <c r="U206" s="4">
        <v>33002.339999999997</v>
      </c>
      <c r="V206" s="1">
        <v>3.1</v>
      </c>
      <c r="W206" s="1">
        <f t="shared" ca="1" si="29"/>
        <v>5</v>
      </c>
      <c r="X206" s="1">
        <v>4.01</v>
      </c>
      <c r="Y206" s="1" t="str">
        <f t="shared" si="30"/>
        <v>Stage II</v>
      </c>
      <c r="Z206" s="10">
        <f t="shared" si="31"/>
        <v>33002.339999999997</v>
      </c>
    </row>
    <row r="207" spans="1:26">
      <c r="A207" s="1" t="s">
        <v>329</v>
      </c>
      <c r="B207" s="1">
        <v>35</v>
      </c>
      <c r="C207" s="1" t="s">
        <v>541</v>
      </c>
      <c r="D207" s="1" t="str">
        <f>PROPER(Table3[[#This Row],[Gender]])</f>
        <v>Other</v>
      </c>
      <c r="E207" s="1" t="s">
        <v>551</v>
      </c>
      <c r="F207" s="1" t="str">
        <f>PROPER(Table3[[#This Row],[Country_Region]])</f>
        <v>Germany</v>
      </c>
      <c r="G207" s="1">
        <v>2022</v>
      </c>
      <c r="H207" s="1">
        <v>2.7</v>
      </c>
      <c r="I207" s="1">
        <f>IF(H207="", AVERAGEIF('CLEANED DATASET'!$G$2:$G$532,G207,'CLEANED DATASET'!$H321),H207)</f>
        <v>2.7</v>
      </c>
      <c r="J207" s="1">
        <v>7.3</v>
      </c>
      <c r="K207" s="1">
        <f t="shared" si="26"/>
        <v>7.3</v>
      </c>
      <c r="L207" s="1">
        <v>3.3</v>
      </c>
      <c r="M207" s="1">
        <f t="shared" si="27"/>
        <v>3.3</v>
      </c>
      <c r="N207" s="1">
        <v>3.8</v>
      </c>
      <c r="O207" s="1">
        <f t="shared" si="28"/>
        <v>3.8</v>
      </c>
      <c r="P207" s="1"/>
      <c r="Q207" s="3">
        <f t="shared" si="25"/>
        <v>5.8148148148148167</v>
      </c>
      <c r="R207" s="1" t="s">
        <v>573</v>
      </c>
      <c r="S207" s="1" t="str">
        <f>PROPER(Table3[[#This Row],[Cancer_Type]])</f>
        <v>Breast</v>
      </c>
      <c r="T207" s="1" t="s">
        <v>591</v>
      </c>
      <c r="U207" s="4">
        <v>66111.39</v>
      </c>
      <c r="V207" s="1">
        <v>4.5999999999999996</v>
      </c>
      <c r="W207" s="1">
        <f t="shared" ca="1" si="29"/>
        <v>6</v>
      </c>
      <c r="X207" s="1">
        <v>4.1100000000000003</v>
      </c>
      <c r="Y207" s="1" t="str">
        <f t="shared" si="30"/>
        <v>Stage II</v>
      </c>
      <c r="Z207" s="10">
        <f t="shared" si="31"/>
        <v>66111.39</v>
      </c>
    </row>
    <row r="208" spans="1:26">
      <c r="A208" s="1" t="s">
        <v>234</v>
      </c>
      <c r="B208" s="1">
        <v>22</v>
      </c>
      <c r="C208" s="1" t="s">
        <v>611</v>
      </c>
      <c r="D208" s="1" t="str">
        <f>PROPER(Table3[[#This Row],[Gender]])</f>
        <v>Female</v>
      </c>
      <c r="E208" s="1" t="s">
        <v>552</v>
      </c>
      <c r="F208" s="1" t="str">
        <f>PROPER(Table3[[#This Row],[Country_Region]])</f>
        <v>China</v>
      </c>
      <c r="G208" s="1">
        <v>2022</v>
      </c>
      <c r="H208" s="1">
        <v>6.5</v>
      </c>
      <c r="I208" s="1">
        <f>IF(H208="", AVERAGEIF('CLEANED DATASET'!$G$2:$G$532,G208,'CLEANED DATASET'!$H226),H208)</f>
        <v>6.5</v>
      </c>
      <c r="J208" s="1"/>
      <c r="K208" s="1">
        <f t="shared" si="26"/>
        <v>5</v>
      </c>
      <c r="L208" s="1">
        <v>6.7</v>
      </c>
      <c r="M208" s="1">
        <f t="shared" si="27"/>
        <v>6.7</v>
      </c>
      <c r="N208" s="1">
        <v>4</v>
      </c>
      <c r="O208" s="1">
        <f t="shared" si="28"/>
        <v>4</v>
      </c>
      <c r="P208" s="1">
        <v>4</v>
      </c>
      <c r="Q208" s="1">
        <f t="shared" si="25"/>
        <v>4</v>
      </c>
      <c r="R208" s="1" t="s">
        <v>571</v>
      </c>
      <c r="S208" s="1" t="str">
        <f>PROPER(Table3[[#This Row],[Cancer_Type]])</f>
        <v>Lung</v>
      </c>
      <c r="T208" s="1" t="s">
        <v>591</v>
      </c>
      <c r="U208" s="4">
        <v>54884.27</v>
      </c>
      <c r="V208" s="1">
        <v>4.5999999999999996</v>
      </c>
      <c r="W208" s="1">
        <f t="shared" ca="1" si="29"/>
        <v>6</v>
      </c>
      <c r="X208" s="1">
        <v>4.4400000000000004</v>
      </c>
      <c r="Y208" s="1" t="str">
        <f t="shared" si="30"/>
        <v>Stage II</v>
      </c>
      <c r="Z208" s="10">
        <f t="shared" si="31"/>
        <v>54884.27</v>
      </c>
    </row>
    <row r="209" spans="1:26">
      <c r="A209" s="1" t="s">
        <v>38</v>
      </c>
      <c r="B209" s="1">
        <v>26</v>
      </c>
      <c r="C209" s="1" t="s">
        <v>541</v>
      </c>
      <c r="D209" s="1" t="str">
        <f>PROPER(Table3[[#This Row],[Gender]])</f>
        <v>Other</v>
      </c>
      <c r="E209" s="1" t="s">
        <v>633</v>
      </c>
      <c r="F209" s="1" t="str">
        <f>PROPER(Table3[[#This Row],[Country_Region]])</f>
        <v>Germany</v>
      </c>
      <c r="G209" s="1">
        <v>2022</v>
      </c>
      <c r="H209" s="1">
        <v>6.6</v>
      </c>
      <c r="I209" s="1">
        <f>IF(H209="", AVERAGEIF('CLEANED DATASET'!$G$2:$G$532,G209,'CLEANED DATASET'!$H30),H209)</f>
        <v>6.6</v>
      </c>
      <c r="J209" s="1">
        <v>8.1999999999999993</v>
      </c>
      <c r="K209" s="1">
        <f t="shared" si="26"/>
        <v>8.1999999999999993</v>
      </c>
      <c r="L209" s="1">
        <v>5</v>
      </c>
      <c r="M209" s="1">
        <f t="shared" si="27"/>
        <v>5</v>
      </c>
      <c r="N209" s="1">
        <v>1.8</v>
      </c>
      <c r="O209" s="1">
        <f t="shared" si="28"/>
        <v>1.8</v>
      </c>
      <c r="P209" s="1">
        <v>6.6</v>
      </c>
      <c r="Q209" s="1">
        <f t="shared" si="25"/>
        <v>6.6</v>
      </c>
      <c r="R209" s="1" t="s">
        <v>570</v>
      </c>
      <c r="S209" s="1" t="str">
        <f>PROPER(Table3[[#This Row],[Cancer_Type]])</f>
        <v>Skin</v>
      </c>
      <c r="T209" s="1" t="s">
        <v>592</v>
      </c>
      <c r="U209" s="4">
        <v>49346.17</v>
      </c>
      <c r="V209" s="1">
        <v>8.6</v>
      </c>
      <c r="W209" s="1">
        <f t="shared" ca="1" si="29"/>
        <v>5</v>
      </c>
      <c r="X209" s="1">
        <v>5.33</v>
      </c>
      <c r="Y209" s="1" t="str">
        <f t="shared" si="30"/>
        <v>Stage II</v>
      </c>
      <c r="Z209" s="10">
        <f t="shared" si="31"/>
        <v>49346.17</v>
      </c>
    </row>
    <row r="210" spans="1:26">
      <c r="A210" s="1" t="s">
        <v>357</v>
      </c>
      <c r="B210" s="1">
        <v>30</v>
      </c>
      <c r="C210" s="1" t="s">
        <v>543</v>
      </c>
      <c r="D210" s="1" t="str">
        <f>PROPER(Table3[[#This Row],[Gender]])</f>
        <v>Female</v>
      </c>
      <c r="E210" s="1" t="s">
        <v>556</v>
      </c>
      <c r="F210" s="1" t="str">
        <f>PROPER(Table3[[#This Row],[Country_Region]])</f>
        <v>India</v>
      </c>
      <c r="G210" s="1">
        <v>2024</v>
      </c>
      <c r="H210" s="1">
        <v>4.8</v>
      </c>
      <c r="I210" s="1">
        <f>IF(H210="", AVERAGEIF('CLEANED DATASET'!$G$2:$G$532,G210,'CLEANED DATASET'!$H349),H210)</f>
        <v>4.8</v>
      </c>
      <c r="J210" s="1">
        <v>3.3</v>
      </c>
      <c r="K210" s="1">
        <f t="shared" si="26"/>
        <v>3.3</v>
      </c>
      <c r="L210" s="1">
        <v>6.6</v>
      </c>
      <c r="M210" s="1">
        <f t="shared" si="27"/>
        <v>6.6</v>
      </c>
      <c r="N210" s="1">
        <v>4</v>
      </c>
      <c r="O210" s="1">
        <f t="shared" si="28"/>
        <v>4</v>
      </c>
      <c r="P210" s="1">
        <v>4.3</v>
      </c>
      <c r="Q210" s="1">
        <f t="shared" si="25"/>
        <v>4.3</v>
      </c>
      <c r="R210" s="1" t="s">
        <v>573</v>
      </c>
      <c r="S210" s="1" t="str">
        <f>PROPER(Table3[[#This Row],[Cancer_Type]])</f>
        <v>Breast</v>
      </c>
      <c r="T210" s="1" t="s">
        <v>594</v>
      </c>
      <c r="U210" s="4">
        <v>7841.58</v>
      </c>
      <c r="V210" s="1">
        <v>6.8</v>
      </c>
      <c r="W210" s="1">
        <f t="shared" ca="1" si="29"/>
        <v>6</v>
      </c>
      <c r="X210" s="1">
        <v>5.52</v>
      </c>
      <c r="Y210" s="1" t="str">
        <f t="shared" si="30"/>
        <v>Stage II</v>
      </c>
      <c r="Z210" s="10">
        <f t="shared" si="31"/>
        <v>7841.58</v>
      </c>
    </row>
    <row r="211" spans="1:26">
      <c r="A211" s="1" t="s">
        <v>305</v>
      </c>
      <c r="B211" s="1">
        <v>87</v>
      </c>
      <c r="C211" s="1" t="s">
        <v>543</v>
      </c>
      <c r="D211" s="1" t="str">
        <f>PROPER(Table3[[#This Row],[Gender]])</f>
        <v>Female</v>
      </c>
      <c r="E211" s="1" t="s">
        <v>552</v>
      </c>
      <c r="F211" s="1" t="str">
        <f>PROPER(Table3[[#This Row],[Country_Region]])</f>
        <v>China</v>
      </c>
      <c r="G211" s="1">
        <v>2023</v>
      </c>
      <c r="H211" s="1">
        <v>5.0999999999999996</v>
      </c>
      <c r="I211" s="1">
        <f>IF(H211="", AVERAGEIF('CLEANED DATASET'!$G$2:$G$532,G211,'CLEANED DATASET'!$H297),H211)</f>
        <v>5.0999999999999996</v>
      </c>
      <c r="J211" s="1">
        <v>4.9000000000000004</v>
      </c>
      <c r="K211" s="1">
        <f t="shared" si="26"/>
        <v>4.9000000000000004</v>
      </c>
      <c r="L211" s="1">
        <v>0</v>
      </c>
      <c r="M211" s="1">
        <f t="shared" si="27"/>
        <v>0</v>
      </c>
      <c r="N211" s="1"/>
      <c r="O211" s="3">
        <f t="shared" si="28"/>
        <v>4.8019417475728154</v>
      </c>
      <c r="P211" s="1">
        <v>8</v>
      </c>
      <c r="Q211" s="1">
        <f t="shared" si="25"/>
        <v>8</v>
      </c>
      <c r="R211" s="1" t="s">
        <v>571</v>
      </c>
      <c r="S211" s="1" t="str">
        <f>PROPER(Table3[[#This Row],[Cancer_Type]])</f>
        <v>Lung</v>
      </c>
      <c r="T211" s="1" t="s">
        <v>591</v>
      </c>
      <c r="U211" s="4">
        <v>6228.17</v>
      </c>
      <c r="V211" s="1">
        <v>7.4</v>
      </c>
      <c r="W211" s="1">
        <f t="shared" ca="1" si="29"/>
        <v>6</v>
      </c>
      <c r="X211" s="1">
        <v>5.99</v>
      </c>
      <c r="Y211" s="1" t="str">
        <f t="shared" si="30"/>
        <v>Stage II</v>
      </c>
      <c r="Z211" s="10">
        <f t="shared" si="31"/>
        <v>6228.17</v>
      </c>
    </row>
    <row r="212" spans="1:26">
      <c r="A212" s="1" t="s">
        <v>350</v>
      </c>
      <c r="B212" s="1">
        <v>47</v>
      </c>
      <c r="C212" s="1" t="s">
        <v>542</v>
      </c>
      <c r="D212" s="1" t="str">
        <f>PROPER(Table3[[#This Row],[Gender]])</f>
        <v>Male</v>
      </c>
      <c r="E212" s="1" t="s">
        <v>552</v>
      </c>
      <c r="F212" s="1" t="str">
        <f>PROPER(Table3[[#This Row],[Country_Region]])</f>
        <v>China</v>
      </c>
      <c r="G212" s="1">
        <v>2022</v>
      </c>
      <c r="H212" s="1">
        <v>7.7</v>
      </c>
      <c r="I212" s="1">
        <f>IF(H212="", AVERAGEIF('CLEANED DATASET'!$G$2:$G$532,G212,'CLEANED DATASET'!$H342),H212)</f>
        <v>7.7</v>
      </c>
      <c r="J212" s="1">
        <v>0.8</v>
      </c>
      <c r="K212" s="1">
        <f t="shared" si="26"/>
        <v>0.8</v>
      </c>
      <c r="L212" s="1">
        <v>1.5</v>
      </c>
      <c r="M212" s="1">
        <f t="shared" si="27"/>
        <v>1.5</v>
      </c>
      <c r="N212" s="1">
        <v>1.2</v>
      </c>
      <c r="O212" s="1">
        <f t="shared" si="28"/>
        <v>1.2</v>
      </c>
      <c r="P212" s="1">
        <v>3.1</v>
      </c>
      <c r="Q212" s="1">
        <f t="shared" si="25"/>
        <v>3.1</v>
      </c>
      <c r="R212" s="1" t="s">
        <v>573</v>
      </c>
      <c r="S212" s="1" t="str">
        <f>PROPER(Table3[[#This Row],[Cancer_Type]])</f>
        <v>Breast</v>
      </c>
      <c r="T212" s="1" t="s">
        <v>590</v>
      </c>
      <c r="U212" s="4">
        <v>65539.259999999995</v>
      </c>
      <c r="V212" s="1">
        <v>8.1999999999999993</v>
      </c>
      <c r="W212" s="1">
        <f t="shared" ca="1" si="29"/>
        <v>7</v>
      </c>
      <c r="X212" s="1">
        <v>3.12</v>
      </c>
      <c r="Y212" s="1" t="str">
        <f t="shared" si="30"/>
        <v>Stage I</v>
      </c>
      <c r="Z212" s="10">
        <f t="shared" si="31"/>
        <v>65539.259999999995</v>
      </c>
    </row>
    <row r="213" spans="1:26">
      <c r="A213" s="1" t="s">
        <v>72</v>
      </c>
      <c r="B213" s="1">
        <v>21</v>
      </c>
      <c r="C213" s="1" t="s">
        <v>541</v>
      </c>
      <c r="D213" s="1" t="str">
        <f>PROPER(Table3[[#This Row],[Gender]])</f>
        <v>Other</v>
      </c>
      <c r="E213" s="1" t="s">
        <v>635</v>
      </c>
      <c r="F213" s="1" t="str">
        <f>PROPER(Table3[[#This Row],[Country_Region]])</f>
        <v>Germany</v>
      </c>
      <c r="G213" s="1">
        <v>2022</v>
      </c>
      <c r="H213" s="1">
        <v>5.4</v>
      </c>
      <c r="I213" s="1">
        <f>IF(H213="", AVERAGEIF('CLEANED DATASET'!$G$2:$G$532,G213,'CLEANED DATASET'!$H64),H213)</f>
        <v>5.4</v>
      </c>
      <c r="J213" s="1">
        <v>1.4</v>
      </c>
      <c r="K213" s="1">
        <f t="shared" si="26"/>
        <v>1.4</v>
      </c>
      <c r="L213" s="1">
        <v>4</v>
      </c>
      <c r="M213" s="1">
        <f t="shared" si="27"/>
        <v>4</v>
      </c>
      <c r="N213" s="1">
        <v>2.7</v>
      </c>
      <c r="O213" s="1">
        <f t="shared" si="28"/>
        <v>2.7</v>
      </c>
      <c r="P213" s="1">
        <v>6.9</v>
      </c>
      <c r="Q213" s="1">
        <f t="shared" si="25"/>
        <v>6.9</v>
      </c>
      <c r="R213" s="1" t="s">
        <v>574</v>
      </c>
      <c r="S213" s="1" t="str">
        <f>PROPER(Table3[[#This Row],[Cancer_Type]])</f>
        <v>Colon</v>
      </c>
      <c r="T213" s="1" t="s">
        <v>594</v>
      </c>
      <c r="U213" s="4">
        <v>76352.539999999994</v>
      </c>
      <c r="V213" s="1">
        <v>2.9</v>
      </c>
      <c r="W213" s="1">
        <f t="shared" ca="1" si="29"/>
        <v>8</v>
      </c>
      <c r="X213" s="1">
        <v>3.59</v>
      </c>
      <c r="Y213" s="1" t="str">
        <f t="shared" si="30"/>
        <v>Stage I</v>
      </c>
      <c r="Z213" s="10">
        <f t="shared" si="31"/>
        <v>76352.539999999994</v>
      </c>
    </row>
    <row r="214" spans="1:26">
      <c r="A214" s="1" t="s">
        <v>184</v>
      </c>
      <c r="B214" s="1">
        <v>74</v>
      </c>
      <c r="C214" s="1" t="s">
        <v>546</v>
      </c>
      <c r="D214" s="1" t="str">
        <f>PROPER(Table3[[#This Row],[Gender]])</f>
        <v>Unknown</v>
      </c>
      <c r="E214" s="1" t="s">
        <v>556</v>
      </c>
      <c r="F214" s="1" t="str">
        <f>PROPER(Table3[[#This Row],[Country_Region]])</f>
        <v>India</v>
      </c>
      <c r="G214" s="1">
        <v>2023</v>
      </c>
      <c r="H214" s="1">
        <v>6.8</v>
      </c>
      <c r="I214" s="1">
        <f>IF(H214="", AVERAGEIF('CLEANED DATASET'!$G$2:$G$532,G214,'CLEANED DATASET'!$H176),H214)</f>
        <v>6.8</v>
      </c>
      <c r="J214" s="1">
        <v>9.1999999999999993</v>
      </c>
      <c r="K214" s="1">
        <f t="shared" si="26"/>
        <v>9.1999999999999993</v>
      </c>
      <c r="L214" s="1">
        <v>7.4</v>
      </c>
      <c r="M214" s="1">
        <f t="shared" si="27"/>
        <v>7.4</v>
      </c>
      <c r="N214" s="1">
        <v>4.2</v>
      </c>
      <c r="O214" s="1">
        <f t="shared" si="28"/>
        <v>4.2</v>
      </c>
      <c r="P214" s="1">
        <v>9.1999999999999993</v>
      </c>
      <c r="Q214" s="1">
        <f t="shared" si="25"/>
        <v>9.1999999999999993</v>
      </c>
      <c r="R214" s="1" t="s">
        <v>578</v>
      </c>
      <c r="S214" s="1" t="str">
        <f>PROPER(Table3[[#This Row],[Cancer_Type]])</f>
        <v>Liver</v>
      </c>
      <c r="T214" s="1" t="s">
        <v>591</v>
      </c>
      <c r="U214" s="4">
        <v>81940.25</v>
      </c>
      <c r="V214" s="1">
        <v>3.6</v>
      </c>
      <c r="W214" s="1">
        <f t="shared" ca="1" si="29"/>
        <v>6</v>
      </c>
      <c r="X214" s="1">
        <v>5.97</v>
      </c>
      <c r="Y214" s="1" t="str">
        <f t="shared" si="30"/>
        <v>Stage II</v>
      </c>
      <c r="Z214" s="10">
        <f t="shared" si="31"/>
        <v>81940.25</v>
      </c>
    </row>
    <row r="215" spans="1:26">
      <c r="A215" s="1" t="s">
        <v>224</v>
      </c>
      <c r="B215" s="1">
        <v>74</v>
      </c>
      <c r="C215" s="1" t="s">
        <v>542</v>
      </c>
      <c r="D215" s="1" t="str">
        <f>PROPER(Table3[[#This Row],[Gender]])</f>
        <v>Male</v>
      </c>
      <c r="E215" s="1" t="s">
        <v>548</v>
      </c>
      <c r="F215" s="1" t="str">
        <f>PROPER(Table3[[#This Row],[Country_Region]])</f>
        <v>Uk</v>
      </c>
      <c r="G215" s="1">
        <v>2023</v>
      </c>
      <c r="H215" s="1">
        <v>4</v>
      </c>
      <c r="I215" s="1">
        <f>IF(H215="", AVERAGEIF('CLEANED DATASET'!$G$2:$G$532,G215,'CLEANED DATASET'!$H216),H215)</f>
        <v>4</v>
      </c>
      <c r="J215" s="1">
        <v>5.0999999999999996</v>
      </c>
      <c r="K215" s="1">
        <f t="shared" si="26"/>
        <v>5.0999999999999996</v>
      </c>
      <c r="L215" s="1">
        <v>8.1</v>
      </c>
      <c r="M215" s="1">
        <f t="shared" si="27"/>
        <v>8.1</v>
      </c>
      <c r="N215" s="1">
        <v>6.8</v>
      </c>
      <c r="O215" s="1">
        <f t="shared" si="28"/>
        <v>6.8</v>
      </c>
      <c r="P215" s="1">
        <v>6.8</v>
      </c>
      <c r="Q215" s="1">
        <f t="shared" si="25"/>
        <v>6.8</v>
      </c>
      <c r="R215" s="1" t="s">
        <v>576</v>
      </c>
      <c r="S215" s="1" t="str">
        <f>PROPER(Table3[[#This Row],[Cancer_Type]])</f>
        <v>Cervical</v>
      </c>
      <c r="T215" s="1" t="s">
        <v>593</v>
      </c>
      <c r="U215" s="4">
        <v>29456.720000000001</v>
      </c>
      <c r="V215" s="1">
        <v>4.9000000000000004</v>
      </c>
      <c r="W215" s="1">
        <f t="shared" ca="1" si="29"/>
        <v>3</v>
      </c>
      <c r="X215" s="1">
        <v>6.23</v>
      </c>
      <c r="Y215" s="1" t="str">
        <f t="shared" si="30"/>
        <v>Stage III</v>
      </c>
      <c r="Z215" s="10">
        <f t="shared" si="31"/>
        <v>29456.720000000001</v>
      </c>
    </row>
    <row r="216" spans="1:26">
      <c r="A216" s="1" t="s">
        <v>207</v>
      </c>
      <c r="B216" s="1">
        <v>26</v>
      </c>
      <c r="C216" s="1" t="s">
        <v>542</v>
      </c>
      <c r="D216" s="1" t="str">
        <f>PROPER(Table3[[#This Row],[Gender]])</f>
        <v>Male</v>
      </c>
      <c r="E216" s="1" t="s">
        <v>555</v>
      </c>
      <c r="F216" s="1" t="str">
        <f>PROPER(Table3[[#This Row],[Country_Region]])</f>
        <v>Russia</v>
      </c>
      <c r="G216" s="1">
        <v>2023</v>
      </c>
      <c r="H216" s="1">
        <v>5.6</v>
      </c>
      <c r="I216" s="1">
        <f>IF(H216="", AVERAGEIF('CLEANED DATASET'!$G$2:$G$532,G216,'CLEANED DATASET'!$H199),H216)</f>
        <v>5.6</v>
      </c>
      <c r="J216" s="1">
        <v>3</v>
      </c>
      <c r="K216" s="1">
        <f t="shared" si="26"/>
        <v>3</v>
      </c>
      <c r="L216" s="1">
        <v>8.4</v>
      </c>
      <c r="M216" s="1">
        <f t="shared" si="27"/>
        <v>8.4</v>
      </c>
      <c r="N216" s="1">
        <v>2.6</v>
      </c>
      <c r="O216" s="1">
        <f t="shared" si="28"/>
        <v>2.6</v>
      </c>
      <c r="P216" s="1">
        <v>2</v>
      </c>
      <c r="Q216" s="1">
        <f t="shared" si="25"/>
        <v>2</v>
      </c>
      <c r="R216" s="1" t="s">
        <v>576</v>
      </c>
      <c r="S216" s="1" t="str">
        <f>PROPER(Table3[[#This Row],[Cancer_Type]])</f>
        <v>Cervical</v>
      </c>
      <c r="T216" s="1" t="s">
        <v>594</v>
      </c>
      <c r="U216" s="4">
        <v>88353.8</v>
      </c>
      <c r="V216" s="1">
        <v>1.1000000000000001</v>
      </c>
      <c r="W216" s="1">
        <f t="shared" ca="1" si="29"/>
        <v>7</v>
      </c>
      <c r="X216" s="1">
        <v>3.78</v>
      </c>
      <c r="Y216" s="1" t="str">
        <f t="shared" si="30"/>
        <v>Stage I</v>
      </c>
      <c r="Z216" s="10">
        <f t="shared" si="31"/>
        <v>88353.8</v>
      </c>
    </row>
    <row r="217" spans="1:26">
      <c r="A217" s="1" t="s">
        <v>256</v>
      </c>
      <c r="B217" s="1">
        <v>27</v>
      </c>
      <c r="C217" s="1" t="s">
        <v>542</v>
      </c>
      <c r="D217" s="1" t="str">
        <f>PROPER(Table3[[#This Row],[Gender]])</f>
        <v>Male</v>
      </c>
      <c r="E217" s="1" t="s">
        <v>555</v>
      </c>
      <c r="F217" s="1" t="str">
        <f>PROPER(Table3[[#This Row],[Country_Region]])</f>
        <v>Russia</v>
      </c>
      <c r="G217" s="1">
        <v>2022</v>
      </c>
      <c r="H217" s="1">
        <v>3.5</v>
      </c>
      <c r="I217" s="1">
        <f>IF(H217="", AVERAGEIF('CLEANED DATASET'!$G$2:$G$532,G217,'CLEANED DATASET'!$H248),H217)</f>
        <v>3.5</v>
      </c>
      <c r="J217" s="1">
        <v>6.2</v>
      </c>
      <c r="K217" s="1">
        <f t="shared" si="26"/>
        <v>6.2</v>
      </c>
      <c r="L217" s="1">
        <v>7.6</v>
      </c>
      <c r="M217" s="1">
        <f t="shared" si="27"/>
        <v>7.6</v>
      </c>
      <c r="N217" s="1">
        <v>5.6</v>
      </c>
      <c r="O217" s="1">
        <f t="shared" si="28"/>
        <v>5.6</v>
      </c>
      <c r="P217" s="1">
        <v>9.6</v>
      </c>
      <c r="Q217" s="1">
        <f t="shared" si="25"/>
        <v>9.6</v>
      </c>
      <c r="R217" s="1" t="s">
        <v>574</v>
      </c>
      <c r="S217" s="1" t="str">
        <f>PROPER(Table3[[#This Row],[Cancer_Type]])</f>
        <v>Colon</v>
      </c>
      <c r="T217" s="1" t="s">
        <v>593</v>
      </c>
      <c r="U217" s="4">
        <v>73783.570000000007</v>
      </c>
      <c r="V217" s="1">
        <v>8.8000000000000007</v>
      </c>
      <c r="W217" s="1">
        <f t="shared" ca="1" si="29"/>
        <v>5</v>
      </c>
      <c r="X217" s="1">
        <v>5.37</v>
      </c>
      <c r="Y217" s="1" t="str">
        <f t="shared" si="30"/>
        <v>Stage II</v>
      </c>
      <c r="Z217" s="10">
        <f t="shared" si="31"/>
        <v>73783.570000000007</v>
      </c>
    </row>
    <row r="218" spans="1:26">
      <c r="A218" s="1" t="s">
        <v>445</v>
      </c>
      <c r="B218" s="1">
        <v>82</v>
      </c>
      <c r="C218" s="1" t="s">
        <v>543</v>
      </c>
      <c r="D218" s="1" t="str">
        <f>PROPER(Table3[[#This Row],[Gender]])</f>
        <v>Female</v>
      </c>
      <c r="E218" s="1" t="s">
        <v>553</v>
      </c>
      <c r="F218" s="1" t="str">
        <f>PROPER(Table3[[#This Row],[Country_Region]])</f>
        <v>Canada</v>
      </c>
      <c r="G218" s="1">
        <v>2022</v>
      </c>
      <c r="H218" s="1">
        <v>6.8</v>
      </c>
      <c r="I218" s="1">
        <f>IF(H218="", AVERAGEIF('CLEANED DATASET'!$G$2:$G$532,G218,'CLEANED DATASET'!$H437),H218)</f>
        <v>6.8</v>
      </c>
      <c r="J218" s="1">
        <v>5</v>
      </c>
      <c r="K218" s="1">
        <f t="shared" si="26"/>
        <v>5</v>
      </c>
      <c r="L218" s="1">
        <v>2.6</v>
      </c>
      <c r="M218" s="1">
        <f t="shared" si="27"/>
        <v>2.6</v>
      </c>
      <c r="N218" s="1">
        <v>1.7</v>
      </c>
      <c r="O218" s="1">
        <f t="shared" si="28"/>
        <v>1.7</v>
      </c>
      <c r="P218" s="1">
        <v>3.2</v>
      </c>
      <c r="Q218" s="1">
        <f t="shared" si="25"/>
        <v>3.2</v>
      </c>
      <c r="R218" s="1" t="s">
        <v>578</v>
      </c>
      <c r="S218" s="1" t="str">
        <f>PROPER(Table3[[#This Row],[Cancer_Type]])</f>
        <v>Liver</v>
      </c>
      <c r="T218" s="1" t="s">
        <v>590</v>
      </c>
      <c r="U218" s="4">
        <v>68976.17</v>
      </c>
      <c r="V218" s="1">
        <v>2.1</v>
      </c>
      <c r="W218" s="1">
        <f t="shared" ca="1" si="29"/>
        <v>7</v>
      </c>
      <c r="X218" s="1">
        <v>3.78</v>
      </c>
      <c r="Y218" s="1" t="str">
        <f t="shared" si="30"/>
        <v>Stage I</v>
      </c>
      <c r="Z218" s="10">
        <f t="shared" si="31"/>
        <v>68976.17</v>
      </c>
    </row>
    <row r="219" spans="1:26">
      <c r="A219" s="1" t="s">
        <v>539</v>
      </c>
      <c r="B219" s="1">
        <v>56</v>
      </c>
      <c r="C219" s="1" t="s">
        <v>542</v>
      </c>
      <c r="D219" s="1" t="str">
        <f>PROPER(Table3[[#This Row],[Gender]])</f>
        <v>Male</v>
      </c>
      <c r="E219" s="1" t="s">
        <v>567</v>
      </c>
      <c r="F219" s="1" t="str">
        <f>PROPER(Table3[[#This Row],[Country_Region]])</f>
        <v>Canada</v>
      </c>
      <c r="G219" s="1">
        <v>2024</v>
      </c>
      <c r="H219" s="1">
        <v>4.0999999999999996</v>
      </c>
      <c r="I219" s="1">
        <f>IF(H219="", AVERAGEIF('CLEANED DATASET'!$G$2:$G$532,G219,'CLEANED DATASET'!$H531),H219)</f>
        <v>4.0999999999999996</v>
      </c>
      <c r="J219" s="1">
        <v>1.8</v>
      </c>
      <c r="K219" s="1">
        <f t="shared" si="26"/>
        <v>1.8</v>
      </c>
      <c r="L219" s="1">
        <v>3.2</v>
      </c>
      <c r="M219" s="1">
        <f t="shared" si="27"/>
        <v>3.2</v>
      </c>
      <c r="N219" s="1">
        <v>8</v>
      </c>
      <c r="O219" s="1">
        <f t="shared" si="28"/>
        <v>8</v>
      </c>
      <c r="P219" s="1">
        <v>1</v>
      </c>
      <c r="Q219" s="1">
        <f t="shared" si="25"/>
        <v>1</v>
      </c>
      <c r="R219" s="1" t="s">
        <v>578</v>
      </c>
      <c r="S219" s="1" t="str">
        <f>PROPER(Table3[[#This Row],[Cancer_Type]])</f>
        <v>Liver</v>
      </c>
      <c r="T219" s="1" t="s">
        <v>591</v>
      </c>
      <c r="U219" s="4">
        <v>54992.81</v>
      </c>
      <c r="V219" s="1">
        <v>0.5</v>
      </c>
      <c r="W219" s="1">
        <f t="shared" ca="1" si="29"/>
        <v>6</v>
      </c>
      <c r="X219" s="1">
        <v>4.17</v>
      </c>
      <c r="Y219" s="1" t="str">
        <f t="shared" si="30"/>
        <v>Stage II</v>
      </c>
      <c r="Z219" s="10">
        <f t="shared" si="31"/>
        <v>54992.81</v>
      </c>
    </row>
    <row r="220" spans="1:26">
      <c r="A220" s="1" t="s">
        <v>163</v>
      </c>
      <c r="B220" s="1">
        <v>54</v>
      </c>
      <c r="C220" s="1" t="s">
        <v>543</v>
      </c>
      <c r="D220" s="1" t="str">
        <f>PROPER(Table3[[#This Row],[Gender]])</f>
        <v>Female</v>
      </c>
      <c r="E220" s="1" t="s">
        <v>550</v>
      </c>
      <c r="F220" s="1" t="str">
        <f>PROPER(Table3[[#This Row],[Country_Region]])</f>
        <v>Pakistan</v>
      </c>
      <c r="G220" s="1">
        <v>2024</v>
      </c>
      <c r="H220" s="1">
        <v>9.8000000000000007</v>
      </c>
      <c r="I220" s="1">
        <f>IF(H220="", AVERAGEIF('CLEANED DATASET'!$G$2:$G$532,G220,'CLEANED DATASET'!$H155),H220)</f>
        <v>9.8000000000000007</v>
      </c>
      <c r="J220" s="1">
        <v>2</v>
      </c>
      <c r="K220" s="1">
        <f t="shared" si="26"/>
        <v>2</v>
      </c>
      <c r="L220" s="1">
        <v>0.5</v>
      </c>
      <c r="M220" s="1">
        <f t="shared" si="27"/>
        <v>0.5</v>
      </c>
      <c r="N220" s="1">
        <v>3</v>
      </c>
      <c r="O220" s="1">
        <f t="shared" si="28"/>
        <v>3</v>
      </c>
      <c r="P220" s="1">
        <v>4.2</v>
      </c>
      <c r="Q220" s="1">
        <f t="shared" si="25"/>
        <v>4.2</v>
      </c>
      <c r="R220" s="1" t="s">
        <v>602</v>
      </c>
      <c r="S220" s="1" t="str">
        <f>PROPER(Table3[[#This Row],[Cancer_Type]])</f>
        <v>Unknown</v>
      </c>
      <c r="T220" s="1" t="s">
        <v>593</v>
      </c>
      <c r="U220" s="8">
        <v>85893.87</v>
      </c>
      <c r="V220" s="1">
        <v>9.6999999999999993</v>
      </c>
      <c r="W220" s="1">
        <f t="shared" ca="1" si="29"/>
        <v>7</v>
      </c>
      <c r="X220" s="1">
        <v>3.64</v>
      </c>
      <c r="Y220" s="1" t="str">
        <f t="shared" si="30"/>
        <v>Stage I</v>
      </c>
      <c r="Z220" s="10">
        <f t="shared" si="31"/>
        <v>85893.87</v>
      </c>
    </row>
    <row r="221" spans="1:26">
      <c r="A221" s="1" t="s">
        <v>183</v>
      </c>
      <c r="B221" s="1">
        <v>61</v>
      </c>
      <c r="C221" s="1" t="s">
        <v>543</v>
      </c>
      <c r="D221" s="1" t="str">
        <f>PROPER(Table3[[#This Row],[Gender]])</f>
        <v>Female</v>
      </c>
      <c r="E221" s="1" t="s">
        <v>551</v>
      </c>
      <c r="F221" s="1" t="str">
        <f>PROPER(Table3[[#This Row],[Country_Region]])</f>
        <v>Germany</v>
      </c>
      <c r="G221" s="1">
        <v>2022</v>
      </c>
      <c r="H221" s="1">
        <v>5.2</v>
      </c>
      <c r="I221" s="1">
        <f>IF(H221="", AVERAGEIF('CLEANED DATASET'!$G$2:$G$532,G221,'CLEANED DATASET'!$H175),H221)</f>
        <v>5.2</v>
      </c>
      <c r="J221" s="1">
        <v>1.9</v>
      </c>
      <c r="K221" s="1">
        <f t="shared" si="26"/>
        <v>1.9</v>
      </c>
      <c r="L221" s="1">
        <v>3.3</v>
      </c>
      <c r="M221" s="1">
        <f t="shared" si="27"/>
        <v>3.3</v>
      </c>
      <c r="N221" s="1">
        <v>4.9000000000000004</v>
      </c>
      <c r="O221" s="1">
        <f t="shared" si="28"/>
        <v>4.9000000000000004</v>
      </c>
      <c r="P221" s="1">
        <v>4.3</v>
      </c>
      <c r="Q221" s="1">
        <f t="shared" si="25"/>
        <v>4.3</v>
      </c>
      <c r="R221" s="1" t="s">
        <v>570</v>
      </c>
      <c r="S221" s="1" t="str">
        <f>PROPER(Table3[[#This Row],[Cancer_Type]])</f>
        <v>Skin</v>
      </c>
      <c r="T221" s="1" t="s">
        <v>592</v>
      </c>
      <c r="U221" s="4"/>
      <c r="V221" s="1">
        <v>3</v>
      </c>
      <c r="W221" s="1">
        <f t="shared" ca="1" si="29"/>
        <v>1</v>
      </c>
      <c r="X221" s="3">
        <f>ROUND(I221+K221+M221+O221+Q221+(10-V221)/6, 2)</f>
        <v>20.77</v>
      </c>
      <c r="Y221" s="1" t="str">
        <f t="shared" si="30"/>
        <v>Stage IV</v>
      </c>
      <c r="Z221" s="10">
        <f t="shared" si="31"/>
        <v>50478.92</v>
      </c>
    </row>
    <row r="222" spans="1:26">
      <c r="A222" s="1" t="s">
        <v>420</v>
      </c>
      <c r="B222" s="1">
        <v>29</v>
      </c>
      <c r="C222" s="1" t="s">
        <v>542</v>
      </c>
      <c r="D222" s="1" t="str">
        <f>PROPER(Table3[[#This Row],[Gender]])</f>
        <v>Male</v>
      </c>
      <c r="E222" s="1" t="s">
        <v>549</v>
      </c>
      <c r="F222" s="1" t="str">
        <f>PROPER(Table3[[#This Row],[Country_Region]])</f>
        <v>Australia</v>
      </c>
      <c r="G222" s="1">
        <v>2022</v>
      </c>
      <c r="H222" s="1">
        <v>3.5</v>
      </c>
      <c r="I222" s="1">
        <f>IF(H222="", AVERAGEIF('CLEANED DATASET'!$G$2:$G$532,G222,'CLEANED DATASET'!$H412),H222)</f>
        <v>3.5</v>
      </c>
      <c r="J222" s="1">
        <v>8.8000000000000007</v>
      </c>
      <c r="K222" s="1">
        <f t="shared" si="26"/>
        <v>8.8000000000000007</v>
      </c>
      <c r="L222" s="1">
        <v>7.2</v>
      </c>
      <c r="M222" s="1">
        <f t="shared" si="27"/>
        <v>7.2</v>
      </c>
      <c r="N222" s="1">
        <v>8.9</v>
      </c>
      <c r="O222" s="1">
        <f t="shared" si="28"/>
        <v>8.9</v>
      </c>
      <c r="P222" s="1">
        <v>8</v>
      </c>
      <c r="Q222" s="1">
        <f t="shared" si="25"/>
        <v>8</v>
      </c>
      <c r="R222" s="1" t="s">
        <v>571</v>
      </c>
      <c r="S222" s="1" t="str">
        <f>PROPER(Table3[[#This Row],[Cancer_Type]])</f>
        <v>Lung</v>
      </c>
      <c r="T222" s="1" t="s">
        <v>590</v>
      </c>
      <c r="U222" s="4">
        <v>24121.62</v>
      </c>
      <c r="V222" s="1">
        <v>9.3000000000000007</v>
      </c>
      <c r="W222" s="1">
        <f t="shared" ca="1" si="29"/>
        <v>4</v>
      </c>
      <c r="X222" s="1">
        <v>7.2</v>
      </c>
      <c r="Y222" s="1" t="str">
        <f t="shared" si="30"/>
        <v>Stage III</v>
      </c>
      <c r="Z222" s="10">
        <f t="shared" si="31"/>
        <v>24121.62</v>
      </c>
    </row>
    <row r="223" spans="1:26">
      <c r="A223" s="1" t="s">
        <v>96</v>
      </c>
      <c r="B223" s="1">
        <v>89</v>
      </c>
      <c r="C223" s="1" t="s">
        <v>542</v>
      </c>
      <c r="D223" s="1" t="str">
        <f>PROPER(Table3[[#This Row],[Gender]])</f>
        <v>Male</v>
      </c>
      <c r="E223" s="1" t="s">
        <v>548</v>
      </c>
      <c r="F223" s="1" t="str">
        <f>PROPER(Table3[[#This Row],[Country_Region]])</f>
        <v>Uk</v>
      </c>
      <c r="G223" s="1">
        <v>2023</v>
      </c>
      <c r="H223" s="1">
        <v>6.7</v>
      </c>
      <c r="I223" s="1">
        <f>IF(H223="", AVERAGEIF('CLEANED DATASET'!$G$2:$G$532,G223,'CLEANED DATASET'!$H88),H223)</f>
        <v>6.7</v>
      </c>
      <c r="J223" s="1">
        <v>3.1</v>
      </c>
      <c r="K223" s="1">
        <f t="shared" si="26"/>
        <v>3.1</v>
      </c>
      <c r="L223" s="1">
        <v>4.5999999999999996</v>
      </c>
      <c r="M223" s="1">
        <f t="shared" si="27"/>
        <v>4.5999999999999996</v>
      </c>
      <c r="N223" s="1">
        <v>8.9</v>
      </c>
      <c r="O223" s="1">
        <f t="shared" si="28"/>
        <v>8.9</v>
      </c>
      <c r="P223" s="1">
        <v>7.1</v>
      </c>
      <c r="Q223" s="1">
        <f t="shared" si="25"/>
        <v>7.1</v>
      </c>
      <c r="R223" s="1" t="s">
        <v>574</v>
      </c>
      <c r="S223" s="1" t="str">
        <f>PROPER(Table3[[#This Row],[Cancer_Type]])</f>
        <v>Colon</v>
      </c>
      <c r="T223" s="1" t="s">
        <v>594</v>
      </c>
      <c r="U223" s="4">
        <v>32430.79</v>
      </c>
      <c r="V223" s="1">
        <v>0.2</v>
      </c>
      <c r="W223" s="1">
        <f t="shared" ca="1" si="29"/>
        <v>3</v>
      </c>
      <c r="X223" s="1">
        <v>6.34</v>
      </c>
      <c r="Y223" s="1" t="str">
        <f t="shared" si="30"/>
        <v>Stage III</v>
      </c>
      <c r="Z223" s="10">
        <f t="shared" si="31"/>
        <v>32430.79</v>
      </c>
    </row>
    <row r="224" spans="1:26">
      <c r="A224" s="1" t="s">
        <v>417</v>
      </c>
      <c r="B224" s="1">
        <v>26</v>
      </c>
      <c r="C224" s="1" t="s">
        <v>541</v>
      </c>
      <c r="D224" s="1" t="str">
        <f>PROPER(Table3[[#This Row],[Gender]])</f>
        <v>Other</v>
      </c>
      <c r="E224" s="1" t="s">
        <v>548</v>
      </c>
      <c r="F224" s="1" t="str">
        <f>PROPER(Table3[[#This Row],[Country_Region]])</f>
        <v>Uk</v>
      </c>
      <c r="G224" s="1">
        <v>2023</v>
      </c>
      <c r="H224" s="1">
        <v>8.4</v>
      </c>
      <c r="I224" s="1">
        <f>IF(H224="", AVERAGEIF('CLEANED DATASET'!$G$2:$G$532,G224,'CLEANED DATASET'!$H409),H224)</f>
        <v>8.4</v>
      </c>
      <c r="J224" s="1">
        <v>1</v>
      </c>
      <c r="K224" s="1">
        <f t="shared" si="26"/>
        <v>1</v>
      </c>
      <c r="L224" s="1">
        <v>9.9</v>
      </c>
      <c r="M224" s="1">
        <f t="shared" si="27"/>
        <v>9.9</v>
      </c>
      <c r="N224" s="1">
        <v>0.1</v>
      </c>
      <c r="O224" s="1">
        <f t="shared" si="28"/>
        <v>0.1</v>
      </c>
      <c r="P224" s="1">
        <v>1.9</v>
      </c>
      <c r="Q224" s="1">
        <f t="shared" si="25"/>
        <v>1.9</v>
      </c>
      <c r="R224" s="1" t="s">
        <v>603</v>
      </c>
      <c r="S224" s="1" t="str">
        <f>PROPER(Table3[[#This Row],[Cancer_Type]])</f>
        <v>Unknown</v>
      </c>
      <c r="T224" s="1" t="s">
        <v>590</v>
      </c>
      <c r="U224" s="4">
        <v>83055.59</v>
      </c>
      <c r="V224" s="1">
        <v>3.3</v>
      </c>
      <c r="W224" s="1">
        <f t="shared" ca="1" si="29"/>
        <v>7</v>
      </c>
      <c r="X224" s="1">
        <v>3.86</v>
      </c>
      <c r="Y224" s="1" t="str">
        <f t="shared" si="30"/>
        <v>Stage I</v>
      </c>
      <c r="Z224" s="10">
        <f t="shared" si="31"/>
        <v>83055.59</v>
      </c>
    </row>
    <row r="225" spans="1:27">
      <c r="A225" s="1" t="s">
        <v>342</v>
      </c>
      <c r="B225" s="1">
        <v>22</v>
      </c>
      <c r="C225" s="1" t="s">
        <v>543</v>
      </c>
      <c r="D225" s="1" t="str">
        <f>PROPER(Table3[[#This Row],[Gender]])</f>
        <v>Female</v>
      </c>
      <c r="E225" s="1" t="s">
        <v>553</v>
      </c>
      <c r="F225" s="1" t="str">
        <f>PROPER(Table3[[#This Row],[Country_Region]])</f>
        <v>Canada</v>
      </c>
      <c r="G225" s="1">
        <v>2023</v>
      </c>
      <c r="H225" s="1">
        <v>9</v>
      </c>
      <c r="I225" s="1">
        <f>IF(H225="", AVERAGEIF('CLEANED DATASET'!$G$2:$G$532,G225,'CLEANED DATASET'!$H334),H225)</f>
        <v>9</v>
      </c>
      <c r="J225" s="1">
        <v>4</v>
      </c>
      <c r="K225" s="1">
        <f t="shared" si="26"/>
        <v>4</v>
      </c>
      <c r="L225" s="1">
        <v>1.4</v>
      </c>
      <c r="M225" s="1">
        <f t="shared" si="27"/>
        <v>1.4</v>
      </c>
      <c r="N225" s="1">
        <v>5.3</v>
      </c>
      <c r="O225" s="1">
        <f t="shared" si="28"/>
        <v>5.3</v>
      </c>
      <c r="P225" s="1">
        <v>6.5</v>
      </c>
      <c r="Q225" s="1">
        <f t="shared" ref="Q225:Q288" si="32">IF(P225="",AVERAGEIF(G225:G755,G225,P225:P755),P225)</f>
        <v>6.5</v>
      </c>
      <c r="R225" s="1" t="s">
        <v>572</v>
      </c>
      <c r="S225" s="1" t="str">
        <f>PROPER(Table3[[#This Row],[Cancer_Type]])</f>
        <v>Leukemia</v>
      </c>
      <c r="T225" s="1" t="s">
        <v>591</v>
      </c>
      <c r="U225" s="4">
        <v>16491.57</v>
      </c>
      <c r="V225" s="1">
        <v>1.1000000000000001</v>
      </c>
      <c r="W225" s="1">
        <f t="shared" ca="1" si="29"/>
        <v>6</v>
      </c>
      <c r="X225" s="1">
        <v>5.99</v>
      </c>
      <c r="Y225" s="1" t="str">
        <f t="shared" si="30"/>
        <v>Stage II</v>
      </c>
      <c r="Z225" s="10">
        <f t="shared" si="31"/>
        <v>16491.57</v>
      </c>
    </row>
    <row r="226" spans="1:27">
      <c r="A226" s="1" t="s">
        <v>423</v>
      </c>
      <c r="B226" s="1">
        <v>86</v>
      </c>
      <c r="C226" s="1" t="s">
        <v>541</v>
      </c>
      <c r="D226" s="1" t="str">
        <f>PROPER(Table3[[#This Row],[Gender]])</f>
        <v>Other</v>
      </c>
      <c r="E226" s="1" t="s">
        <v>548</v>
      </c>
      <c r="F226" s="1" t="str">
        <f>PROPER(Table3[[#This Row],[Country_Region]])</f>
        <v>Uk</v>
      </c>
      <c r="G226" s="1">
        <v>2023</v>
      </c>
      <c r="H226" s="1">
        <v>3.2</v>
      </c>
      <c r="I226" s="1">
        <f>IF(H226="", AVERAGEIF('CLEANED DATASET'!$G$2:$G$532,G226,'CLEANED DATASET'!$H415),H226)</f>
        <v>3.2</v>
      </c>
      <c r="J226" s="1">
        <v>1.3</v>
      </c>
      <c r="K226" s="1">
        <f t="shared" si="26"/>
        <v>1.3</v>
      </c>
      <c r="L226" s="1">
        <v>6</v>
      </c>
      <c r="M226" s="1">
        <f t="shared" si="27"/>
        <v>6</v>
      </c>
      <c r="N226" s="1">
        <v>2.7</v>
      </c>
      <c r="O226" s="1">
        <f t="shared" si="28"/>
        <v>2.7</v>
      </c>
      <c r="P226" s="1">
        <v>0.1</v>
      </c>
      <c r="Q226" s="1">
        <f t="shared" si="32"/>
        <v>0.1</v>
      </c>
      <c r="R226" s="1" t="s">
        <v>574</v>
      </c>
      <c r="S226" s="1" t="str">
        <f>PROPER(Table3[[#This Row],[Cancer_Type]])</f>
        <v>Colon</v>
      </c>
      <c r="T226" s="1" t="s">
        <v>591</v>
      </c>
      <c r="U226" s="4">
        <v>60641.88</v>
      </c>
      <c r="V226" s="1">
        <v>8.6</v>
      </c>
      <c r="W226" s="1">
        <f t="shared" ca="1" si="29"/>
        <v>8</v>
      </c>
      <c r="X226" s="1">
        <v>3.07</v>
      </c>
      <c r="Y226" s="1" t="str">
        <f t="shared" si="30"/>
        <v>Stage I</v>
      </c>
      <c r="Z226" s="10">
        <f t="shared" si="31"/>
        <v>60641.88</v>
      </c>
    </row>
    <row r="227" spans="1:27">
      <c r="A227" s="1" t="s">
        <v>354</v>
      </c>
      <c r="B227" s="1">
        <v>88</v>
      </c>
      <c r="C227" s="1" t="s">
        <v>542</v>
      </c>
      <c r="D227" s="1" t="str">
        <f>PROPER(Table3[[#This Row],[Gender]])</f>
        <v>Male</v>
      </c>
      <c r="E227" s="1" t="s">
        <v>552</v>
      </c>
      <c r="F227" s="1" t="str">
        <f>PROPER(Table3[[#This Row],[Country_Region]])</f>
        <v>China</v>
      </c>
      <c r="G227" s="1">
        <v>2022</v>
      </c>
      <c r="H227" s="1">
        <v>2.2000000000000002</v>
      </c>
      <c r="I227" s="1">
        <f>IF(H227="", AVERAGEIF('CLEANED DATASET'!$G$2:$G$532,G227,'CLEANED DATASET'!$H346),H227)</f>
        <v>2.2000000000000002</v>
      </c>
      <c r="J227" s="1">
        <v>8.5</v>
      </c>
      <c r="K227" s="1">
        <f t="shared" si="26"/>
        <v>8.5</v>
      </c>
      <c r="L227" s="1">
        <v>5.6</v>
      </c>
      <c r="M227" s="1">
        <f t="shared" si="27"/>
        <v>5.6</v>
      </c>
      <c r="N227" s="1">
        <v>0.5</v>
      </c>
      <c r="O227" s="1">
        <f t="shared" si="28"/>
        <v>0.5</v>
      </c>
      <c r="P227" s="1">
        <v>8.8000000000000007</v>
      </c>
      <c r="Q227" s="1">
        <f t="shared" si="32"/>
        <v>8.8000000000000007</v>
      </c>
      <c r="R227" s="1" t="s">
        <v>597</v>
      </c>
      <c r="S227" s="1" t="str">
        <f>PROPER(Table3[[#This Row],[Cancer_Type]])</f>
        <v>Prostate</v>
      </c>
      <c r="T227" s="1" t="s">
        <v>593</v>
      </c>
      <c r="U227" s="4">
        <v>8166.3</v>
      </c>
      <c r="V227" s="1">
        <v>6.2</v>
      </c>
      <c r="W227" s="1">
        <f t="shared" ca="1" si="29"/>
        <v>6</v>
      </c>
      <c r="X227" s="1">
        <v>5.37</v>
      </c>
      <c r="Y227" s="1" t="str">
        <f t="shared" si="30"/>
        <v>Stage II</v>
      </c>
      <c r="Z227" s="10">
        <f t="shared" si="31"/>
        <v>8166.3</v>
      </c>
    </row>
    <row r="228" spans="1:27">
      <c r="A228" s="1" t="s">
        <v>66</v>
      </c>
      <c r="B228" s="1">
        <v>48</v>
      </c>
      <c r="C228" s="1" t="s">
        <v>543</v>
      </c>
      <c r="D228" s="1" t="str">
        <f>PROPER(Table3[[#This Row],[Gender]])</f>
        <v>Female</v>
      </c>
      <c r="E228" s="1" t="s">
        <v>550</v>
      </c>
      <c r="F228" s="1" t="str">
        <f>PROPER(Table3[[#This Row],[Country_Region]])</f>
        <v>Pakistan</v>
      </c>
      <c r="G228" s="1">
        <v>2022</v>
      </c>
      <c r="H228" s="1">
        <v>8.6</v>
      </c>
      <c r="I228" s="1">
        <f>IF(H228="", AVERAGEIF('CLEANED DATASET'!$G$2:$G$532,G228,'CLEANED DATASET'!$H58),H228)</f>
        <v>8.6</v>
      </c>
      <c r="J228" s="1">
        <v>1.9</v>
      </c>
      <c r="K228" s="1">
        <f t="shared" si="26"/>
        <v>1.9</v>
      </c>
      <c r="L228" s="1">
        <v>6.3</v>
      </c>
      <c r="M228" s="1">
        <f t="shared" si="27"/>
        <v>6.3</v>
      </c>
      <c r="N228" s="1">
        <v>6</v>
      </c>
      <c r="O228" s="1">
        <f t="shared" si="28"/>
        <v>6</v>
      </c>
      <c r="P228" s="1">
        <v>7.9</v>
      </c>
      <c r="Q228" s="1">
        <f t="shared" si="32"/>
        <v>7.9</v>
      </c>
      <c r="R228" s="1" t="s">
        <v>574</v>
      </c>
      <c r="S228" s="1" t="str">
        <f>PROPER(Table3[[#This Row],[Cancer_Type]])</f>
        <v>Colon</v>
      </c>
      <c r="T228" s="1" t="s">
        <v>591</v>
      </c>
      <c r="U228" s="4">
        <v>88035.7</v>
      </c>
      <c r="V228" s="1">
        <v>2.2000000000000002</v>
      </c>
      <c r="W228" s="1">
        <f t="shared" ca="1" si="29"/>
        <v>5</v>
      </c>
      <c r="X228" s="1">
        <v>5.18</v>
      </c>
      <c r="Y228" s="1" t="str">
        <f t="shared" si="30"/>
        <v>Stage II</v>
      </c>
      <c r="Z228" s="10">
        <f t="shared" si="31"/>
        <v>88035.7</v>
      </c>
    </row>
    <row r="229" spans="1:27">
      <c r="A229" s="1" t="s">
        <v>414</v>
      </c>
      <c r="B229" s="1">
        <v>83</v>
      </c>
      <c r="C229" s="1" t="s">
        <v>542</v>
      </c>
      <c r="D229" s="1" t="str">
        <f>PROPER(Table3[[#This Row],[Gender]])</f>
        <v>Male</v>
      </c>
      <c r="E229" s="1" t="s">
        <v>551</v>
      </c>
      <c r="F229" s="1" t="str">
        <f>PROPER(Table3[[#This Row],[Country_Region]])</f>
        <v>Germany</v>
      </c>
      <c r="G229" s="1">
        <v>2022</v>
      </c>
      <c r="H229" s="1">
        <v>6.3</v>
      </c>
      <c r="I229" s="1">
        <f>IF(H229="", AVERAGEIF('CLEANED DATASET'!$G$2:$G$532,G229,'CLEANED DATASET'!$H406),H229)</f>
        <v>6.3</v>
      </c>
      <c r="J229" s="1">
        <v>3.6</v>
      </c>
      <c r="K229" s="1">
        <f t="shared" si="26"/>
        <v>3.6</v>
      </c>
      <c r="L229" s="1">
        <v>3.1</v>
      </c>
      <c r="M229" s="1">
        <f t="shared" si="27"/>
        <v>3.1</v>
      </c>
      <c r="N229" s="1">
        <v>8</v>
      </c>
      <c r="O229" s="1">
        <f t="shared" si="28"/>
        <v>8</v>
      </c>
      <c r="P229" s="1">
        <v>7.4</v>
      </c>
      <c r="Q229" s="1">
        <f t="shared" si="32"/>
        <v>7.4</v>
      </c>
      <c r="R229" s="1" t="s">
        <v>579</v>
      </c>
      <c r="S229" s="1" t="str">
        <f>PROPER(Table3[[#This Row],[Cancer_Type]])</f>
        <v>Prostate</v>
      </c>
      <c r="T229" s="1" t="s">
        <v>591</v>
      </c>
      <c r="U229" s="4">
        <v>67506.33</v>
      </c>
      <c r="V229" s="1">
        <v>5.5</v>
      </c>
      <c r="W229" s="1">
        <f t="shared" ca="1" si="29"/>
        <v>1</v>
      </c>
      <c r="X229" s="3">
        <f>ROUND(I229+K229+M229+O229+Q229+(10-V229)/6, 2)</f>
        <v>29.15</v>
      </c>
      <c r="Y229" s="1" t="str">
        <f t="shared" si="30"/>
        <v>Stage IV</v>
      </c>
      <c r="Z229" s="10">
        <f t="shared" si="31"/>
        <v>67506.33</v>
      </c>
    </row>
    <row r="230" spans="1:27">
      <c r="A230" s="1" t="s">
        <v>44</v>
      </c>
      <c r="B230" s="1">
        <v>34</v>
      </c>
      <c r="C230" s="1" t="s">
        <v>543</v>
      </c>
      <c r="D230" s="1" t="str">
        <f>PROPER(Table3[[#This Row],[Gender]])</f>
        <v>Female</v>
      </c>
      <c r="E230" s="1" t="s">
        <v>553</v>
      </c>
      <c r="F230" s="1" t="str">
        <f>PROPER(Table3[[#This Row],[Country_Region]])</f>
        <v>Canada</v>
      </c>
      <c r="G230" s="1">
        <v>2024</v>
      </c>
      <c r="H230" s="1">
        <v>7.9</v>
      </c>
      <c r="I230" s="1">
        <f>IF(H230="", AVERAGEIF('CLEANED DATASET'!$G$2:$G$532,G230,'CLEANED DATASET'!$H36),H230)</f>
        <v>7.9</v>
      </c>
      <c r="J230" s="1">
        <v>1.2</v>
      </c>
      <c r="K230" s="1">
        <f t="shared" si="26"/>
        <v>1.2</v>
      </c>
      <c r="L230" s="1">
        <v>4.0999999999999996</v>
      </c>
      <c r="M230" s="1">
        <f t="shared" si="27"/>
        <v>4.0999999999999996</v>
      </c>
      <c r="N230" s="1">
        <v>3.6</v>
      </c>
      <c r="O230" s="1">
        <f t="shared" si="28"/>
        <v>3.6</v>
      </c>
      <c r="P230" s="1">
        <v>5.9</v>
      </c>
      <c r="Q230" s="1">
        <f t="shared" si="32"/>
        <v>5.9</v>
      </c>
      <c r="R230" s="1" t="s">
        <v>571</v>
      </c>
      <c r="S230" s="1" t="str">
        <f>PROPER(Table3[[#This Row],[Cancer_Type]])</f>
        <v>Lung</v>
      </c>
      <c r="T230" s="1" t="s">
        <v>594</v>
      </c>
      <c r="U230" s="4">
        <v>19306.080000000002</v>
      </c>
      <c r="V230" s="1">
        <v>4.5999999999999996</v>
      </c>
      <c r="W230" s="1">
        <f t="shared" ca="1" si="29"/>
        <v>5</v>
      </c>
      <c r="X230" s="1">
        <v>5.3</v>
      </c>
      <c r="Y230" s="1" t="str">
        <f t="shared" si="30"/>
        <v>Stage II</v>
      </c>
      <c r="Z230" s="10">
        <f t="shared" si="31"/>
        <v>19306.080000000002</v>
      </c>
    </row>
    <row r="231" spans="1:27">
      <c r="A231" s="1" t="s">
        <v>451</v>
      </c>
      <c r="B231" s="1">
        <v>86</v>
      </c>
      <c r="C231" s="1" t="s">
        <v>541</v>
      </c>
      <c r="D231" s="1" t="str">
        <f>PROPER(Table3[[#This Row],[Gender]])</f>
        <v>Other</v>
      </c>
      <c r="E231" s="1" t="s">
        <v>560</v>
      </c>
      <c r="F231" s="1" t="str">
        <f>PROPER(Table3[[#This Row],[Country_Region]])</f>
        <v>Usa</v>
      </c>
      <c r="G231" s="1">
        <v>2022</v>
      </c>
      <c r="H231" s="1">
        <v>7.9</v>
      </c>
      <c r="I231" s="1">
        <f>IF(H231="", AVERAGEIF('CLEANED DATASET'!$G$2:$G$532,G231,'CLEANED DATASET'!$H443),H231)</f>
        <v>7.9</v>
      </c>
      <c r="J231" s="1">
        <v>1.2</v>
      </c>
      <c r="K231" s="1">
        <f t="shared" si="26"/>
        <v>1.2</v>
      </c>
      <c r="L231" s="1">
        <v>5.7</v>
      </c>
      <c r="M231" s="1">
        <f t="shared" si="27"/>
        <v>5.7</v>
      </c>
      <c r="N231" s="1">
        <v>2.6</v>
      </c>
      <c r="O231" s="1">
        <f t="shared" si="28"/>
        <v>2.6</v>
      </c>
      <c r="P231" s="1">
        <v>7.3</v>
      </c>
      <c r="Q231" s="1">
        <f t="shared" si="32"/>
        <v>7.3</v>
      </c>
      <c r="R231" s="1" t="s">
        <v>576</v>
      </c>
      <c r="S231" s="1" t="str">
        <f>PROPER(Table3[[#This Row],[Cancer_Type]])</f>
        <v>Cervical</v>
      </c>
      <c r="T231" s="1" t="s">
        <v>590</v>
      </c>
      <c r="U231" s="4">
        <v>30392.22</v>
      </c>
      <c r="V231" s="1">
        <v>6</v>
      </c>
      <c r="W231" s="1">
        <f t="shared" ca="1" si="29"/>
        <v>5</v>
      </c>
      <c r="X231" s="1">
        <v>5.26</v>
      </c>
      <c r="Y231" s="1" t="str">
        <f t="shared" si="30"/>
        <v>Stage II</v>
      </c>
      <c r="Z231" s="10">
        <f t="shared" si="31"/>
        <v>30392.22</v>
      </c>
    </row>
    <row r="232" spans="1:27">
      <c r="A232" s="1" t="s">
        <v>292</v>
      </c>
      <c r="B232" s="1">
        <v>35</v>
      </c>
      <c r="C232" s="1" t="s">
        <v>543</v>
      </c>
      <c r="D232" s="1" t="str">
        <f>PROPER(Table3[[#This Row],[Gender]])</f>
        <v>Female</v>
      </c>
      <c r="E232" s="1" t="s">
        <v>553</v>
      </c>
      <c r="F232" s="1" t="str">
        <f>PROPER(Table3[[#This Row],[Country_Region]])</f>
        <v>Canada</v>
      </c>
      <c r="G232" s="1">
        <v>2023</v>
      </c>
      <c r="H232" s="1">
        <v>0.5</v>
      </c>
      <c r="I232" s="1">
        <f>IF(H232="", AVERAGEIF('CLEANED DATASET'!$G$2:$G$532,G232,'CLEANED DATASET'!$H284),H232)</f>
        <v>0.5</v>
      </c>
      <c r="J232" s="1">
        <v>3.1</v>
      </c>
      <c r="K232" s="1">
        <f t="shared" si="26"/>
        <v>3.1</v>
      </c>
      <c r="L232" s="1">
        <v>1.4</v>
      </c>
      <c r="M232" s="1">
        <f t="shared" si="27"/>
        <v>1.4</v>
      </c>
      <c r="N232" s="1">
        <v>5.3</v>
      </c>
      <c r="O232" s="1">
        <f t="shared" si="28"/>
        <v>5.3</v>
      </c>
      <c r="P232" s="1">
        <v>8.6</v>
      </c>
      <c r="Q232" s="1">
        <f t="shared" si="32"/>
        <v>8.6</v>
      </c>
      <c r="R232" s="1" t="s">
        <v>572</v>
      </c>
      <c r="S232" s="1" t="str">
        <f>PROPER(Table3[[#This Row],[Cancer_Type]])</f>
        <v>Leukemia</v>
      </c>
      <c r="T232" s="1" t="s">
        <v>594</v>
      </c>
      <c r="U232" s="4">
        <v>58463.62</v>
      </c>
      <c r="V232" s="1">
        <v>6.5</v>
      </c>
      <c r="W232" s="1">
        <f t="shared" ca="1" si="29"/>
        <v>7</v>
      </c>
      <c r="X232" s="1">
        <v>3.53</v>
      </c>
      <c r="Y232" s="1" t="str">
        <f t="shared" si="30"/>
        <v>Stage I</v>
      </c>
      <c r="Z232" s="10">
        <f t="shared" si="31"/>
        <v>58463.62</v>
      </c>
    </row>
    <row r="233" spans="1:27">
      <c r="A233" s="1" t="s">
        <v>54</v>
      </c>
      <c r="B233" s="1">
        <v>43</v>
      </c>
      <c r="C233" s="1" t="s">
        <v>541</v>
      </c>
      <c r="D233" s="1" t="str">
        <f>PROPER(Table3[[#This Row],[Gender]])</f>
        <v>Other</v>
      </c>
      <c r="E233" s="1" t="s">
        <v>549</v>
      </c>
      <c r="F233" s="1" t="str">
        <f>PROPER(Table3[[#This Row],[Country_Region]])</f>
        <v>Australia</v>
      </c>
      <c r="G233" s="1">
        <v>2023</v>
      </c>
      <c r="H233" s="1">
        <v>8.1999999999999993</v>
      </c>
      <c r="I233" s="1">
        <f>IF(H233="", AVERAGEIF('CLEANED DATASET'!$G$2:$G$532,G233,'CLEANED DATASET'!$H46),H233)</f>
        <v>8.1999999999999993</v>
      </c>
      <c r="J233" s="1">
        <v>1.2</v>
      </c>
      <c r="K233" s="1">
        <f t="shared" si="26"/>
        <v>1.2</v>
      </c>
      <c r="L233" s="1"/>
      <c r="M233" s="4">
        <f t="shared" si="27"/>
        <v>4.8793814432989695</v>
      </c>
      <c r="N233" s="1">
        <v>9.3000000000000007</v>
      </c>
      <c r="O233" s="1">
        <f t="shared" si="28"/>
        <v>9.3000000000000007</v>
      </c>
      <c r="P233" s="1">
        <v>3.2</v>
      </c>
      <c r="Q233" s="1">
        <f t="shared" si="32"/>
        <v>3.2</v>
      </c>
      <c r="R233" s="1" t="s">
        <v>576</v>
      </c>
      <c r="S233" s="1" t="str">
        <f>PROPER(Table3[[#This Row],[Cancer_Type]])</f>
        <v>Cervical</v>
      </c>
      <c r="T233" s="1" t="s">
        <v>594</v>
      </c>
      <c r="U233" s="4">
        <v>90841.75</v>
      </c>
      <c r="V233" s="1">
        <v>1.5</v>
      </c>
      <c r="W233" s="1">
        <f t="shared" ca="1" si="29"/>
        <v>5</v>
      </c>
      <c r="X233" s="1">
        <v>4.51</v>
      </c>
      <c r="Y233" s="1" t="str">
        <f t="shared" si="30"/>
        <v>Stage II</v>
      </c>
      <c r="Z233" s="10">
        <f t="shared" si="31"/>
        <v>90841.75</v>
      </c>
    </row>
    <row r="234" spans="1:27">
      <c r="A234" s="1" t="s">
        <v>221</v>
      </c>
      <c r="B234" s="1">
        <v>57</v>
      </c>
      <c r="C234" s="1" t="s">
        <v>541</v>
      </c>
      <c r="D234" s="1" t="str">
        <f>PROPER(Table3[[#This Row],[Gender]])</f>
        <v>Other</v>
      </c>
      <c r="E234" s="1" t="s">
        <v>556</v>
      </c>
      <c r="F234" s="1" t="str">
        <f>PROPER(Table3[[#This Row],[Country_Region]])</f>
        <v>India</v>
      </c>
      <c r="G234" s="1">
        <v>2024</v>
      </c>
      <c r="H234" s="1">
        <v>7.3</v>
      </c>
      <c r="I234" s="1">
        <f>IF(H234="", AVERAGEIF('CLEANED DATASET'!$G$2:$G$532,G234,'CLEANED DATASET'!$H213),H234)</f>
        <v>7.3</v>
      </c>
      <c r="J234" s="1">
        <v>7.7</v>
      </c>
      <c r="K234" s="1">
        <f t="shared" si="26"/>
        <v>7.7</v>
      </c>
      <c r="L234" s="1">
        <v>2.7</v>
      </c>
      <c r="M234" s="1">
        <f t="shared" si="27"/>
        <v>2.7</v>
      </c>
      <c r="N234" s="1">
        <v>2</v>
      </c>
      <c r="O234" s="1">
        <f t="shared" si="28"/>
        <v>2</v>
      </c>
      <c r="P234" s="1">
        <v>1</v>
      </c>
      <c r="Q234" s="1">
        <f t="shared" si="32"/>
        <v>1</v>
      </c>
      <c r="R234" s="1" t="s">
        <v>573</v>
      </c>
      <c r="S234" s="1" t="str">
        <f>PROPER(Table3[[#This Row],[Cancer_Type]])</f>
        <v>Breast</v>
      </c>
      <c r="T234" s="1" t="s">
        <v>594</v>
      </c>
      <c r="U234" s="4">
        <v>26427.83</v>
      </c>
      <c r="V234" s="1">
        <v>3.5</v>
      </c>
      <c r="W234" s="1">
        <f t="shared" ca="1" si="29"/>
        <v>6</v>
      </c>
      <c r="X234" s="1">
        <v>4.99</v>
      </c>
      <c r="Y234" s="1" t="str">
        <f t="shared" si="30"/>
        <v>Stage II</v>
      </c>
      <c r="Z234" s="10">
        <f t="shared" si="31"/>
        <v>26427.83</v>
      </c>
    </row>
    <row r="235" spans="1:27">
      <c r="A235" s="1" t="s">
        <v>172</v>
      </c>
      <c r="B235" s="1">
        <v>50</v>
      </c>
      <c r="C235" s="1" t="s">
        <v>543</v>
      </c>
      <c r="D235" s="1" t="str">
        <f>PROPER(Table3[[#This Row],[Gender]])</f>
        <v>Female</v>
      </c>
      <c r="E235" s="1" t="s">
        <v>553</v>
      </c>
      <c r="F235" s="1" t="str">
        <f>PROPER(Table3[[#This Row],[Country_Region]])</f>
        <v>Canada</v>
      </c>
      <c r="G235" s="1">
        <v>2022</v>
      </c>
      <c r="H235" s="1">
        <v>5.9</v>
      </c>
      <c r="I235" s="1">
        <f>IF(H235="", AVERAGEIF('CLEANED DATASET'!$G$2:$G$532,G235,'CLEANED DATASET'!$H164),H235)</f>
        <v>5.9</v>
      </c>
      <c r="J235" s="1">
        <v>4</v>
      </c>
      <c r="K235" s="1">
        <f t="shared" si="26"/>
        <v>4</v>
      </c>
      <c r="L235" s="1">
        <v>1.1000000000000001</v>
      </c>
      <c r="M235" s="1">
        <f t="shared" si="27"/>
        <v>1.1000000000000001</v>
      </c>
      <c r="N235" s="1"/>
      <c r="O235" s="3">
        <f t="shared" si="28"/>
        <v>4.5673684210526293</v>
      </c>
      <c r="P235" s="1">
        <v>3.7</v>
      </c>
      <c r="Q235" s="1">
        <f t="shared" si="32"/>
        <v>3.7</v>
      </c>
      <c r="R235" s="1" t="s">
        <v>573</v>
      </c>
      <c r="S235" s="1" t="str">
        <f>PROPER(Table3[[#This Row],[Cancer_Type]])</f>
        <v>Breast</v>
      </c>
      <c r="T235" s="1" t="s">
        <v>592</v>
      </c>
      <c r="U235" s="4">
        <v>13558.14</v>
      </c>
      <c r="V235" s="1">
        <v>3.5</v>
      </c>
      <c r="W235" s="1">
        <f t="shared" ca="1" si="29"/>
        <v>5</v>
      </c>
      <c r="X235" s="1">
        <v>5.92</v>
      </c>
      <c r="Y235" s="1" t="str">
        <f t="shared" si="30"/>
        <v>Stage II</v>
      </c>
      <c r="Z235" s="10">
        <f t="shared" si="31"/>
        <v>13558.14</v>
      </c>
    </row>
    <row r="236" spans="1:27">
      <c r="A236" s="1" t="s">
        <v>74</v>
      </c>
      <c r="B236" s="1">
        <v>31</v>
      </c>
      <c r="C236" s="1" t="s">
        <v>541</v>
      </c>
      <c r="D236" s="1" t="str">
        <f>PROPER(Table3[[#This Row],[Gender]])</f>
        <v>Other</v>
      </c>
      <c r="E236" s="1" t="s">
        <v>553</v>
      </c>
      <c r="F236" s="1" t="str">
        <f>PROPER(Table3[[#This Row],[Country_Region]])</f>
        <v>Canada</v>
      </c>
      <c r="G236" s="1">
        <v>2023</v>
      </c>
      <c r="H236" s="1"/>
      <c r="I236" s="3">
        <f ca="1">IF(H236="", AVERAGEIF('CLEANED DATASET'!$G$2:$G$532,G236,'CLEANED DATASET'!$H66),H236)</f>
        <v>4.8861111111111102</v>
      </c>
      <c r="J236" s="1">
        <v>2.5</v>
      </c>
      <c r="K236" s="1">
        <f t="shared" si="26"/>
        <v>2.5</v>
      </c>
      <c r="L236" s="1">
        <v>7</v>
      </c>
      <c r="M236" s="1">
        <f t="shared" si="27"/>
        <v>7</v>
      </c>
      <c r="N236" s="1">
        <v>8.5</v>
      </c>
      <c r="O236" s="1">
        <f t="shared" si="28"/>
        <v>8.5</v>
      </c>
      <c r="P236" s="1">
        <v>10</v>
      </c>
      <c r="Q236" s="1">
        <f t="shared" si="32"/>
        <v>10</v>
      </c>
      <c r="R236" s="1" t="s">
        <v>579</v>
      </c>
      <c r="S236" s="1" t="str">
        <f>PROPER(Table3[[#This Row],[Cancer_Type]])</f>
        <v>Prostate</v>
      </c>
      <c r="T236" s="1" t="s">
        <v>590</v>
      </c>
      <c r="U236" s="4">
        <v>83638.48</v>
      </c>
      <c r="V236" s="1">
        <f ca="1">ROUND(10-((I236+K236+M236+O236+Q236)/5),1)</f>
        <v>3.4</v>
      </c>
      <c r="W236" s="1">
        <f t="shared" ca="1" si="29"/>
        <v>6</v>
      </c>
      <c r="X236" s="1">
        <v>5.85</v>
      </c>
      <c r="Y236" s="1" t="str">
        <f t="shared" si="30"/>
        <v>Stage II</v>
      </c>
      <c r="Z236" s="10">
        <f t="shared" si="31"/>
        <v>83638.48</v>
      </c>
    </row>
    <row r="237" spans="1:27">
      <c r="A237" s="1" t="s">
        <v>321</v>
      </c>
      <c r="B237" s="1">
        <v>66</v>
      </c>
      <c r="C237" s="1" t="s">
        <v>546</v>
      </c>
      <c r="D237" s="1" t="str">
        <f>PROPER(Table3[[#This Row],[Gender]])</f>
        <v>Unknown</v>
      </c>
      <c r="E237" s="1" t="s">
        <v>553</v>
      </c>
      <c r="F237" s="1" t="str">
        <f>PROPER(Table3[[#This Row],[Country_Region]])</f>
        <v>Canada</v>
      </c>
      <c r="G237" s="1">
        <v>2024</v>
      </c>
      <c r="H237" s="1">
        <v>3.3</v>
      </c>
      <c r="I237" s="1">
        <f>IF(H237="", AVERAGEIF('CLEANED DATASET'!$G$2:$G$532,G237,'CLEANED DATASET'!$H313),H237)</f>
        <v>3.3</v>
      </c>
      <c r="J237" s="1"/>
      <c r="K237" s="1">
        <f t="shared" si="26"/>
        <v>5</v>
      </c>
      <c r="L237" s="1">
        <v>9.8000000000000007</v>
      </c>
      <c r="M237" s="1">
        <f t="shared" si="27"/>
        <v>9.8000000000000007</v>
      </c>
      <c r="N237" s="1">
        <v>5.8</v>
      </c>
      <c r="O237" s="1">
        <f t="shared" si="28"/>
        <v>5.8</v>
      </c>
      <c r="P237" s="1">
        <v>5.3</v>
      </c>
      <c r="Q237" s="1">
        <f t="shared" si="32"/>
        <v>5.3</v>
      </c>
      <c r="R237" s="1" t="s">
        <v>571</v>
      </c>
      <c r="S237" s="1" t="str">
        <f>PROPER(Table3[[#This Row],[Cancer_Type]])</f>
        <v>Lung</v>
      </c>
      <c r="T237" s="1" t="s">
        <v>593</v>
      </c>
      <c r="U237" s="4">
        <v>15635.52</v>
      </c>
      <c r="V237" s="1">
        <v>2.4</v>
      </c>
      <c r="W237" s="1">
        <f t="shared" ca="1" si="29"/>
        <v>5</v>
      </c>
      <c r="X237" s="1">
        <v>5.67</v>
      </c>
      <c r="Y237" s="1" t="str">
        <f t="shared" si="30"/>
        <v>Stage II</v>
      </c>
      <c r="Z237" s="10">
        <f t="shared" si="31"/>
        <v>15635.52</v>
      </c>
    </row>
    <row r="238" spans="1:27">
      <c r="A238" s="1" t="s">
        <v>113</v>
      </c>
      <c r="B238" s="1">
        <v>66</v>
      </c>
      <c r="C238" s="1" t="s">
        <v>541</v>
      </c>
      <c r="D238" s="1" t="str">
        <f>PROPER(Table3[[#This Row],[Gender]])</f>
        <v>Other</v>
      </c>
      <c r="E238" s="1" t="s">
        <v>548</v>
      </c>
      <c r="F238" s="1" t="str">
        <f>PROPER(Table3[[#This Row],[Country_Region]])</f>
        <v>Uk</v>
      </c>
      <c r="G238" s="1">
        <v>2024</v>
      </c>
      <c r="H238" s="1">
        <v>8.3000000000000007</v>
      </c>
      <c r="I238" s="1">
        <f>IF(H238="", AVERAGEIF('CLEANED DATASET'!$G$2:$G$532,G238,'CLEANED DATASET'!$H105),H238)</f>
        <v>8.3000000000000007</v>
      </c>
      <c r="J238" s="1">
        <v>4.5999999999999996</v>
      </c>
      <c r="K238" s="1">
        <f t="shared" si="26"/>
        <v>4.5999999999999996</v>
      </c>
      <c r="L238" s="1">
        <v>8.6</v>
      </c>
      <c r="M238" s="1">
        <f t="shared" si="27"/>
        <v>8.6</v>
      </c>
      <c r="N238" s="1">
        <v>4.2</v>
      </c>
      <c r="O238" s="1">
        <f t="shared" si="28"/>
        <v>4.2</v>
      </c>
      <c r="P238" s="1">
        <v>1.6</v>
      </c>
      <c r="Q238" s="1">
        <f t="shared" si="32"/>
        <v>1.6</v>
      </c>
      <c r="R238" s="1" t="s">
        <v>579</v>
      </c>
      <c r="S238" s="1" t="str">
        <f>PROPER(Table3[[#This Row],[Cancer_Type]])</f>
        <v>Prostate</v>
      </c>
      <c r="T238" s="1" t="s">
        <v>591</v>
      </c>
      <c r="U238" s="4">
        <v>62141.66</v>
      </c>
      <c r="V238" s="1">
        <v>0</v>
      </c>
      <c r="W238" s="1">
        <f t="shared" ca="1" si="29"/>
        <v>6</v>
      </c>
      <c r="X238" s="1">
        <v>5.4</v>
      </c>
      <c r="Y238" s="1" t="str">
        <f t="shared" si="30"/>
        <v>Stage II</v>
      </c>
      <c r="Z238" s="10">
        <f t="shared" si="31"/>
        <v>62141.66</v>
      </c>
      <c r="AA238" s="7"/>
    </row>
    <row r="239" spans="1:27">
      <c r="A239" s="1" t="s">
        <v>27</v>
      </c>
      <c r="B239" s="1">
        <v>79</v>
      </c>
      <c r="C239" s="1" t="s">
        <v>542</v>
      </c>
      <c r="D239" s="1" t="str">
        <f>PROPER(Table3[[#This Row],[Gender]])</f>
        <v>Male</v>
      </c>
      <c r="E239" s="1" t="s">
        <v>555</v>
      </c>
      <c r="F239" s="1" t="str">
        <f>PROPER(Table3[[#This Row],[Country_Region]])</f>
        <v>Russia</v>
      </c>
      <c r="G239" s="1">
        <v>2023</v>
      </c>
      <c r="H239" s="1">
        <v>5.7</v>
      </c>
      <c r="I239" s="1">
        <f>IF(H239="", AVERAGEIF('CLEANED DATASET'!$G$2:$G$532,G239,'CLEANED DATASET'!$H19),H239)</f>
        <v>5.7</v>
      </c>
      <c r="J239" s="1"/>
      <c r="K239" s="1">
        <f t="shared" si="26"/>
        <v>4.5</v>
      </c>
      <c r="L239" s="1">
        <v>6.5</v>
      </c>
      <c r="M239" s="1">
        <f t="shared" si="27"/>
        <v>6.5</v>
      </c>
      <c r="N239" s="1">
        <v>2.7</v>
      </c>
      <c r="O239" s="1">
        <f t="shared" si="28"/>
        <v>2.7</v>
      </c>
      <c r="P239" s="1">
        <v>2.1</v>
      </c>
      <c r="Q239" s="1">
        <f t="shared" si="32"/>
        <v>2.1</v>
      </c>
      <c r="R239" s="1" t="s">
        <v>574</v>
      </c>
      <c r="S239" s="1" t="str">
        <f>PROPER(Table3[[#This Row],[Cancer_Type]])</f>
        <v>Colon</v>
      </c>
      <c r="T239" s="1" t="s">
        <v>591</v>
      </c>
      <c r="U239" s="4">
        <v>92498.36</v>
      </c>
      <c r="V239" s="1">
        <v>4</v>
      </c>
      <c r="W239" s="1">
        <f t="shared" ca="1" si="29"/>
        <v>7</v>
      </c>
      <c r="X239" s="1">
        <v>3.33</v>
      </c>
      <c r="Y239" s="1" t="str">
        <f t="shared" si="30"/>
        <v>Stage I</v>
      </c>
      <c r="Z239" s="10">
        <f t="shared" si="31"/>
        <v>92498.36</v>
      </c>
    </row>
    <row r="240" spans="1:27">
      <c r="A240" s="1" t="s">
        <v>46</v>
      </c>
      <c r="B240" s="1">
        <v>33</v>
      </c>
      <c r="C240" s="1" t="s">
        <v>543</v>
      </c>
      <c r="D240" s="1" t="str">
        <f>PROPER(Table3[[#This Row],[Gender]])</f>
        <v>Female</v>
      </c>
      <c r="E240" s="1" t="s">
        <v>549</v>
      </c>
      <c r="F240" s="1" t="str">
        <f>PROPER(Table3[[#This Row],[Country_Region]])</f>
        <v>Australia</v>
      </c>
      <c r="G240" s="1">
        <v>2023</v>
      </c>
      <c r="H240" s="1">
        <v>7</v>
      </c>
      <c r="I240" s="1">
        <f>IF(H240="", AVERAGEIF('CLEANED DATASET'!$G$2:$G$532,G240,'CLEANED DATASET'!$H38),H240)</f>
        <v>7</v>
      </c>
      <c r="J240" s="1">
        <v>9.6</v>
      </c>
      <c r="K240" s="1">
        <f t="shared" si="26"/>
        <v>9.6</v>
      </c>
      <c r="L240" s="1">
        <v>6.3</v>
      </c>
      <c r="M240" s="1">
        <f t="shared" si="27"/>
        <v>6.3</v>
      </c>
      <c r="N240" s="1">
        <v>1.3</v>
      </c>
      <c r="O240" s="1">
        <f t="shared" si="28"/>
        <v>1.3</v>
      </c>
      <c r="P240" s="1">
        <v>5.7</v>
      </c>
      <c r="Q240" s="1">
        <f t="shared" si="32"/>
        <v>5.7</v>
      </c>
      <c r="R240" s="1" t="s">
        <v>571</v>
      </c>
      <c r="S240" s="1" t="str">
        <f>PROPER(Table3[[#This Row],[Cancer_Type]])</f>
        <v>Lung</v>
      </c>
      <c r="T240" s="1" t="s">
        <v>594</v>
      </c>
      <c r="U240" s="4">
        <v>72847.39</v>
      </c>
      <c r="V240" s="1">
        <v>3.6</v>
      </c>
      <c r="W240" s="1">
        <f t="shared" ca="1" si="29"/>
        <v>6</v>
      </c>
      <c r="X240" s="1">
        <v>5.16</v>
      </c>
      <c r="Y240" s="1" t="str">
        <f t="shared" si="30"/>
        <v>Stage II</v>
      </c>
      <c r="Z240" s="10">
        <f t="shared" si="31"/>
        <v>72847.39</v>
      </c>
    </row>
    <row r="241" spans="1:26">
      <c r="A241" s="1" t="s">
        <v>387</v>
      </c>
      <c r="B241" s="1">
        <v>69</v>
      </c>
      <c r="C241" s="1" t="s">
        <v>541</v>
      </c>
      <c r="D241" s="1" t="str">
        <f>PROPER(Table3[[#This Row],[Gender]])</f>
        <v>Other</v>
      </c>
      <c r="E241" s="1" t="s">
        <v>551</v>
      </c>
      <c r="F241" s="1" t="str">
        <f>PROPER(Table3[[#This Row],[Country_Region]])</f>
        <v>Germany</v>
      </c>
      <c r="G241" s="1">
        <v>2024</v>
      </c>
      <c r="H241" s="1">
        <v>2</v>
      </c>
      <c r="I241" s="1">
        <f>IF(H241="", AVERAGEIF('CLEANED DATASET'!$G$2:$G$532,G241,'CLEANED DATASET'!$H379),H241)</f>
        <v>2</v>
      </c>
      <c r="J241" s="1">
        <v>3.7</v>
      </c>
      <c r="K241" s="1">
        <f t="shared" si="26"/>
        <v>3.7</v>
      </c>
      <c r="L241" s="1">
        <v>4.2</v>
      </c>
      <c r="M241" s="1">
        <f t="shared" si="27"/>
        <v>4.2</v>
      </c>
      <c r="N241" s="1">
        <v>2.7</v>
      </c>
      <c r="O241" s="1">
        <f t="shared" si="28"/>
        <v>2.7</v>
      </c>
      <c r="P241" s="1">
        <v>6.9</v>
      </c>
      <c r="Q241" s="1">
        <f t="shared" si="32"/>
        <v>6.9</v>
      </c>
      <c r="R241" s="1" t="s">
        <v>580</v>
      </c>
      <c r="S241" s="1" t="str">
        <f>PROPER(Table3[[#This Row],[Cancer_Type]])</f>
        <v>Colon</v>
      </c>
      <c r="T241" s="1" t="s">
        <v>591</v>
      </c>
      <c r="U241" s="4">
        <v>13409.27</v>
      </c>
      <c r="V241" s="1">
        <v>1.2</v>
      </c>
      <c r="W241" s="1">
        <f t="shared" ca="1" si="29"/>
        <v>5</v>
      </c>
      <c r="X241" s="1">
        <v>4.55</v>
      </c>
      <c r="Y241" s="1" t="str">
        <f t="shared" si="30"/>
        <v>Stage II</v>
      </c>
      <c r="Z241" s="10">
        <f t="shared" si="31"/>
        <v>13409.27</v>
      </c>
    </row>
    <row r="242" spans="1:26">
      <c r="A242" s="1" t="s">
        <v>180</v>
      </c>
      <c r="B242" s="1">
        <v>24</v>
      </c>
      <c r="C242" s="1" t="s">
        <v>541</v>
      </c>
      <c r="D242" s="1" t="str">
        <f>PROPER(Table3[[#This Row],[Gender]])</f>
        <v>Other</v>
      </c>
      <c r="E242" s="1" t="s">
        <v>548</v>
      </c>
      <c r="F242" s="1" t="str">
        <f>PROPER(Table3[[#This Row],[Country_Region]])</f>
        <v>Uk</v>
      </c>
      <c r="G242" s="1">
        <v>2024</v>
      </c>
      <c r="H242" s="1">
        <v>8.4</v>
      </c>
      <c r="I242" s="1">
        <f>IF(H242="", AVERAGEIF('CLEANED DATASET'!$G$2:$G$532,G242,'CLEANED DATASET'!$H172),H242)</f>
        <v>8.4</v>
      </c>
      <c r="J242" s="1">
        <v>5.7</v>
      </c>
      <c r="K242" s="1">
        <f t="shared" si="26"/>
        <v>5.7</v>
      </c>
      <c r="L242" s="1">
        <v>4.3</v>
      </c>
      <c r="M242" s="1">
        <f t="shared" si="27"/>
        <v>4.3</v>
      </c>
      <c r="N242" s="1"/>
      <c r="O242" s="3">
        <f t="shared" si="28"/>
        <v>5.2362637362637363</v>
      </c>
      <c r="P242" s="1">
        <v>4.0999999999999996</v>
      </c>
      <c r="Q242" s="1">
        <f t="shared" si="32"/>
        <v>4.0999999999999996</v>
      </c>
      <c r="R242" s="1" t="s">
        <v>572</v>
      </c>
      <c r="S242" s="1" t="str">
        <f>PROPER(Table3[[#This Row],[Cancer_Type]])</f>
        <v>Leukemia</v>
      </c>
      <c r="T242" s="1" t="s">
        <v>592</v>
      </c>
      <c r="U242" s="4">
        <v>72041.53</v>
      </c>
      <c r="V242" s="1">
        <v>1.7</v>
      </c>
      <c r="W242" s="1">
        <f t="shared" ca="1" si="29"/>
        <v>6</v>
      </c>
      <c r="X242" s="1">
        <v>4.2300000000000004</v>
      </c>
      <c r="Y242" s="1" t="str">
        <f t="shared" si="30"/>
        <v>Stage II</v>
      </c>
      <c r="Z242" s="10">
        <f t="shared" si="31"/>
        <v>72041.53</v>
      </c>
    </row>
    <row r="243" spans="1:26">
      <c r="A243" s="1" t="s">
        <v>473</v>
      </c>
      <c r="B243" s="1">
        <v>73</v>
      </c>
      <c r="C243" s="1" t="s">
        <v>542</v>
      </c>
      <c r="D243" s="1" t="str">
        <f>PROPER(Table3[[#This Row],[Gender]])</f>
        <v>Male</v>
      </c>
      <c r="E243" s="1" t="s">
        <v>551</v>
      </c>
      <c r="F243" s="1" t="str">
        <f>PROPER(Table3[[#This Row],[Country_Region]])</f>
        <v>Germany</v>
      </c>
      <c r="G243" s="1">
        <v>2024</v>
      </c>
      <c r="H243" s="1"/>
      <c r="I243" s="1">
        <f ca="1">IF(H243="", AVERAGEIF('CLEANED DATASET'!$G$2:$G$532,G243,'CLEANED DATASET'!$H465),H243)</f>
        <v>4.8640000000000008</v>
      </c>
      <c r="J243" s="1">
        <v>2</v>
      </c>
      <c r="K243" s="1">
        <f t="shared" si="26"/>
        <v>2</v>
      </c>
      <c r="L243" s="1">
        <v>4.9000000000000004</v>
      </c>
      <c r="M243" s="1">
        <f t="shared" si="27"/>
        <v>4.9000000000000004</v>
      </c>
      <c r="N243" s="1">
        <v>2.8</v>
      </c>
      <c r="O243" s="1">
        <f t="shared" si="28"/>
        <v>2.8</v>
      </c>
      <c r="P243" s="1">
        <v>3.4</v>
      </c>
      <c r="Q243" s="1">
        <f t="shared" si="32"/>
        <v>3.4</v>
      </c>
      <c r="R243" s="1" t="s">
        <v>576</v>
      </c>
      <c r="S243" s="1" t="str">
        <f>PROPER(Table3[[#This Row],[Cancer_Type]])</f>
        <v>Cervical</v>
      </c>
      <c r="T243" s="1" t="s">
        <v>593</v>
      </c>
      <c r="U243" s="4">
        <v>51672.31</v>
      </c>
      <c r="V243" s="1">
        <v>7.1</v>
      </c>
      <c r="W243" s="1">
        <f t="shared" ca="1" si="29"/>
        <v>8</v>
      </c>
      <c r="X243" s="1">
        <v>3.4</v>
      </c>
      <c r="Y243" s="1" t="str">
        <f t="shared" si="30"/>
        <v>Stage I</v>
      </c>
      <c r="Z243" s="10">
        <f t="shared" si="31"/>
        <v>51672.31</v>
      </c>
    </row>
    <row r="244" spans="1:26">
      <c r="A244" s="1" t="s">
        <v>238</v>
      </c>
      <c r="B244" s="1">
        <v>62</v>
      </c>
      <c r="C244" s="1" t="s">
        <v>546</v>
      </c>
      <c r="D244" s="1" t="str">
        <f>PROPER(Table3[[#This Row],[Gender]])</f>
        <v>Unknown</v>
      </c>
      <c r="E244" s="1" t="s">
        <v>551</v>
      </c>
      <c r="F244" s="1" t="str">
        <f>PROPER(Table3[[#This Row],[Country_Region]])</f>
        <v>Germany</v>
      </c>
      <c r="G244" s="1">
        <v>2022</v>
      </c>
      <c r="H244" s="1">
        <v>4.5999999999999996</v>
      </c>
      <c r="I244" s="1">
        <f>IF(H244="", AVERAGEIF('CLEANED DATASET'!$G$2:$G$532,G244,'CLEANED DATASET'!$H230),H244)</f>
        <v>4.5999999999999996</v>
      </c>
      <c r="J244" s="1">
        <v>5.6</v>
      </c>
      <c r="K244" s="1">
        <f t="shared" si="26"/>
        <v>5.6</v>
      </c>
      <c r="L244" s="1">
        <v>6.8</v>
      </c>
      <c r="M244" s="1">
        <f t="shared" si="27"/>
        <v>6.8</v>
      </c>
      <c r="N244" s="1">
        <v>0.8</v>
      </c>
      <c r="O244" s="1">
        <f t="shared" si="28"/>
        <v>0.8</v>
      </c>
      <c r="P244" s="1">
        <v>5.5</v>
      </c>
      <c r="Q244" s="1">
        <f t="shared" si="32"/>
        <v>5.5</v>
      </c>
      <c r="R244" s="1" t="s">
        <v>574</v>
      </c>
      <c r="S244" s="1" t="str">
        <f>PROPER(Table3[[#This Row],[Cancer_Type]])</f>
        <v>Colon</v>
      </c>
      <c r="T244" s="1" t="s">
        <v>590</v>
      </c>
      <c r="U244" s="4">
        <v>20570.330000000002</v>
      </c>
      <c r="V244" s="1">
        <v>6.5</v>
      </c>
      <c r="W244" s="1">
        <f t="shared" ca="1" si="29"/>
        <v>5</v>
      </c>
      <c r="X244" s="1">
        <v>5.08</v>
      </c>
      <c r="Y244" s="1" t="str">
        <f t="shared" si="30"/>
        <v>Stage II</v>
      </c>
      <c r="Z244" s="10">
        <f t="shared" si="31"/>
        <v>20570.330000000002</v>
      </c>
    </row>
    <row r="245" spans="1:26">
      <c r="A245" s="1" t="s">
        <v>288</v>
      </c>
      <c r="B245" s="1">
        <v>65</v>
      </c>
      <c r="C245" s="1" t="s">
        <v>543</v>
      </c>
      <c r="D245" s="1" t="str">
        <f>PROPER(Table3[[#This Row],[Gender]])</f>
        <v>Female</v>
      </c>
      <c r="E245" s="1" t="s">
        <v>555</v>
      </c>
      <c r="F245" s="1" t="str">
        <f>PROPER(Table3[[#This Row],[Country_Region]])</f>
        <v>Russia</v>
      </c>
      <c r="G245" s="1">
        <v>2023</v>
      </c>
      <c r="H245" s="1">
        <v>8.8000000000000007</v>
      </c>
      <c r="I245" s="1">
        <f>IF(H245="", AVERAGEIF('CLEANED DATASET'!$G$2:$G$532,G245,'CLEANED DATASET'!$H280),H245)</f>
        <v>8.8000000000000007</v>
      </c>
      <c r="J245" s="1">
        <v>8.5</v>
      </c>
      <c r="K245" s="1">
        <f t="shared" si="26"/>
        <v>8.5</v>
      </c>
      <c r="L245" s="1">
        <v>6.2</v>
      </c>
      <c r="M245" s="1">
        <f t="shared" si="27"/>
        <v>6.2</v>
      </c>
      <c r="N245" s="1">
        <v>4.3</v>
      </c>
      <c r="O245" s="1">
        <f t="shared" si="28"/>
        <v>4.3</v>
      </c>
      <c r="P245" s="1">
        <v>4.5999999999999996</v>
      </c>
      <c r="Q245" s="1">
        <f t="shared" si="32"/>
        <v>4.5999999999999996</v>
      </c>
      <c r="R245" s="1" t="s">
        <v>576</v>
      </c>
      <c r="S245" s="1" t="str">
        <f>PROPER(Table3[[#This Row],[Cancer_Type]])</f>
        <v>Cervical</v>
      </c>
      <c r="T245" s="1" t="s">
        <v>590</v>
      </c>
      <c r="U245" s="4">
        <v>5541.08</v>
      </c>
      <c r="V245" s="1">
        <v>4.5</v>
      </c>
      <c r="W245" s="1">
        <f t="shared" ca="1" si="29"/>
        <v>3</v>
      </c>
      <c r="X245" s="1">
        <v>7.17</v>
      </c>
      <c r="Y245" s="1" t="str">
        <f t="shared" si="30"/>
        <v>Stage III</v>
      </c>
      <c r="Z245" s="10">
        <f t="shared" si="31"/>
        <v>5541.08</v>
      </c>
    </row>
    <row r="246" spans="1:26">
      <c r="A246" s="1" t="s">
        <v>196</v>
      </c>
      <c r="B246" s="1">
        <v>29</v>
      </c>
      <c r="C246" s="1" t="s">
        <v>542</v>
      </c>
      <c r="D246" s="1" t="str">
        <f>PROPER(Table3[[#This Row],[Gender]])</f>
        <v>Male</v>
      </c>
      <c r="E246" s="1" t="s">
        <v>548</v>
      </c>
      <c r="F246" s="1" t="str">
        <f>PROPER(Table3[[#This Row],[Country_Region]])</f>
        <v>Uk</v>
      </c>
      <c r="G246" s="1">
        <v>2024</v>
      </c>
      <c r="H246" s="1">
        <v>8.5</v>
      </c>
      <c r="I246" s="1">
        <f>IF(H246="", AVERAGEIF('CLEANED DATASET'!$G$2:$G$532,G246,'CLEANED DATASET'!$H188),H246)</f>
        <v>8.5</v>
      </c>
      <c r="J246" s="1">
        <v>3.7</v>
      </c>
      <c r="K246" s="1">
        <f t="shared" si="26"/>
        <v>3.7</v>
      </c>
      <c r="L246" s="1">
        <v>3.9</v>
      </c>
      <c r="M246" s="1">
        <f t="shared" si="27"/>
        <v>3.9</v>
      </c>
      <c r="N246" s="1">
        <v>9.1</v>
      </c>
      <c r="O246" s="1">
        <f t="shared" si="28"/>
        <v>9.1</v>
      </c>
      <c r="P246" s="1">
        <v>4.3</v>
      </c>
      <c r="Q246" s="1">
        <f t="shared" si="32"/>
        <v>4.3</v>
      </c>
      <c r="R246" s="1" t="s">
        <v>573</v>
      </c>
      <c r="S246" s="1" t="str">
        <f>PROPER(Table3[[#This Row],[Cancer_Type]])</f>
        <v>Breast</v>
      </c>
      <c r="T246" s="1" t="s">
        <v>593</v>
      </c>
      <c r="U246" s="4">
        <v>74876.09</v>
      </c>
      <c r="V246" s="1">
        <v>2.2000000000000002</v>
      </c>
      <c r="W246" s="1">
        <f t="shared" ca="1" si="29"/>
        <v>5</v>
      </c>
      <c r="X246" s="1">
        <v>5.59</v>
      </c>
      <c r="Y246" s="1" t="str">
        <f t="shared" si="30"/>
        <v>Stage II</v>
      </c>
      <c r="Z246" s="10">
        <f t="shared" si="31"/>
        <v>74876.09</v>
      </c>
    </row>
    <row r="247" spans="1:26">
      <c r="A247" s="1" t="s">
        <v>494</v>
      </c>
      <c r="B247" s="1">
        <v>74</v>
      </c>
      <c r="C247" s="1" t="s">
        <v>542</v>
      </c>
      <c r="D247" s="1" t="str">
        <f>PROPER(Table3[[#This Row],[Gender]])</f>
        <v>Male</v>
      </c>
      <c r="E247" s="1" t="s">
        <v>550</v>
      </c>
      <c r="F247" s="1" t="str">
        <f>PROPER(Table3[[#This Row],[Country_Region]])</f>
        <v>Pakistan</v>
      </c>
      <c r="G247" s="1">
        <v>2024</v>
      </c>
      <c r="H247" s="1">
        <v>0.7</v>
      </c>
      <c r="I247" s="1">
        <f>IF(H247="", AVERAGEIF('CLEANED DATASET'!$G$2:$G$532,G247,'CLEANED DATASET'!$H486),H247)</f>
        <v>0.7</v>
      </c>
      <c r="J247" s="1">
        <v>9.6</v>
      </c>
      <c r="K247" s="1">
        <f t="shared" si="26"/>
        <v>9.6</v>
      </c>
      <c r="L247" s="1">
        <v>1.5</v>
      </c>
      <c r="M247" s="1">
        <f t="shared" si="27"/>
        <v>1.5</v>
      </c>
      <c r="N247" s="1">
        <v>5.3</v>
      </c>
      <c r="O247" s="1">
        <f t="shared" si="28"/>
        <v>5.3</v>
      </c>
      <c r="P247" s="1">
        <v>0.6</v>
      </c>
      <c r="Q247" s="1">
        <f t="shared" si="32"/>
        <v>0.6</v>
      </c>
      <c r="R247" s="1" t="s">
        <v>574</v>
      </c>
      <c r="S247" s="1" t="str">
        <f>PROPER(Table3[[#This Row],[Cancer_Type]])</f>
        <v>Colon</v>
      </c>
      <c r="T247" s="1" t="s">
        <v>590</v>
      </c>
      <c r="U247" s="4">
        <v>75060.27</v>
      </c>
      <c r="V247" s="1">
        <v>5</v>
      </c>
      <c r="W247" s="1">
        <f t="shared" ca="1" si="29"/>
        <v>7</v>
      </c>
      <c r="X247" s="1">
        <v>3.42</v>
      </c>
      <c r="Y247" s="1" t="str">
        <f t="shared" si="30"/>
        <v>Stage I</v>
      </c>
      <c r="Z247" s="10">
        <f t="shared" si="31"/>
        <v>75060.27</v>
      </c>
    </row>
    <row r="248" spans="1:26">
      <c r="A248" s="1" t="s">
        <v>439</v>
      </c>
      <c r="B248" s="1">
        <v>85</v>
      </c>
      <c r="C248" s="1" t="s">
        <v>542</v>
      </c>
      <c r="D248" s="1" t="str">
        <f>PROPER(Table3[[#This Row],[Gender]])</f>
        <v>Male</v>
      </c>
      <c r="E248" s="1" t="s">
        <v>553</v>
      </c>
      <c r="F248" s="1" t="str">
        <f>PROPER(Table3[[#This Row],[Country_Region]])</f>
        <v>Canada</v>
      </c>
      <c r="G248" s="1">
        <v>2022</v>
      </c>
      <c r="H248" s="1">
        <v>4.3</v>
      </c>
      <c r="I248" s="1">
        <f>IF(H248="", AVERAGEIF('CLEANED DATASET'!$G$2:$G$532,G248,'CLEANED DATASET'!$H431),H248)</f>
        <v>4.3</v>
      </c>
      <c r="J248" s="1">
        <v>1.6</v>
      </c>
      <c r="K248" s="1">
        <f t="shared" si="26"/>
        <v>1.6</v>
      </c>
      <c r="L248" s="1">
        <v>5.3</v>
      </c>
      <c r="M248" s="1">
        <f t="shared" si="27"/>
        <v>5.3</v>
      </c>
      <c r="N248" s="1">
        <v>6.3</v>
      </c>
      <c r="O248" s="1">
        <f t="shared" si="28"/>
        <v>6.3</v>
      </c>
      <c r="P248" s="1">
        <v>7.6</v>
      </c>
      <c r="Q248" s="1">
        <f t="shared" si="32"/>
        <v>7.6</v>
      </c>
      <c r="R248" s="1" t="s">
        <v>576</v>
      </c>
      <c r="S248" s="1" t="str">
        <f>PROPER(Table3[[#This Row],[Cancer_Type]])</f>
        <v>Cervical</v>
      </c>
      <c r="T248" s="1" t="s">
        <v>593</v>
      </c>
      <c r="U248" s="4">
        <v>28148.09</v>
      </c>
      <c r="V248" s="1">
        <v>9.4</v>
      </c>
      <c r="W248" s="1">
        <f t="shared" ca="1" si="29"/>
        <v>5</v>
      </c>
      <c r="X248" s="1">
        <v>5.35</v>
      </c>
      <c r="Y248" s="1" t="str">
        <f t="shared" si="30"/>
        <v>Stage II</v>
      </c>
      <c r="Z248" s="10">
        <f t="shared" si="31"/>
        <v>28148.09</v>
      </c>
    </row>
    <row r="249" spans="1:26">
      <c r="A249" s="1" t="s">
        <v>344</v>
      </c>
      <c r="B249" s="1">
        <v>86</v>
      </c>
      <c r="C249" s="1" t="s">
        <v>541</v>
      </c>
      <c r="D249" s="1" t="str">
        <f>PROPER(Table3[[#This Row],[Gender]])</f>
        <v>Other</v>
      </c>
      <c r="E249" s="1" t="s">
        <v>550</v>
      </c>
      <c r="F249" s="1" t="str">
        <f>PROPER(Table3[[#This Row],[Country_Region]])</f>
        <v>Pakistan</v>
      </c>
      <c r="G249" s="1">
        <v>2023</v>
      </c>
      <c r="H249" s="1">
        <v>4.5999999999999996</v>
      </c>
      <c r="I249" s="1">
        <f>IF(H249="", AVERAGEIF('CLEANED DATASET'!$G$2:$G$532,G249,'CLEANED DATASET'!$H336),H249)</f>
        <v>4.5999999999999996</v>
      </c>
      <c r="J249" s="1">
        <v>5.2</v>
      </c>
      <c r="K249" s="1">
        <f t="shared" si="26"/>
        <v>5.2</v>
      </c>
      <c r="L249" s="1">
        <v>2.2999999999999998</v>
      </c>
      <c r="M249" s="1">
        <f t="shared" si="27"/>
        <v>2.2999999999999998</v>
      </c>
      <c r="N249" s="1"/>
      <c r="O249" s="3">
        <f t="shared" si="28"/>
        <v>4.8066666666666666</v>
      </c>
      <c r="P249" s="1">
        <v>3</v>
      </c>
      <c r="Q249" s="1">
        <f t="shared" si="32"/>
        <v>3</v>
      </c>
      <c r="R249" s="1" t="s">
        <v>579</v>
      </c>
      <c r="S249" s="1" t="str">
        <f>PROPER(Table3[[#This Row],[Cancer_Type]])</f>
        <v>Prostate</v>
      </c>
      <c r="T249" s="1" t="s">
        <v>591</v>
      </c>
      <c r="U249" s="4">
        <v>63828.95</v>
      </c>
      <c r="V249" s="1">
        <v>0.5</v>
      </c>
      <c r="W249" s="1">
        <f t="shared" ca="1" si="29"/>
        <v>8</v>
      </c>
      <c r="X249" s="1">
        <v>3.25</v>
      </c>
      <c r="Y249" s="1" t="str">
        <f t="shared" si="30"/>
        <v>Stage I</v>
      </c>
      <c r="Z249" s="10">
        <f t="shared" si="31"/>
        <v>63828.95</v>
      </c>
    </row>
    <row r="250" spans="1:26">
      <c r="A250" s="1" t="s">
        <v>220</v>
      </c>
      <c r="B250" s="1">
        <v>53</v>
      </c>
      <c r="C250" s="1" t="s">
        <v>541</v>
      </c>
      <c r="D250" s="1" t="str">
        <f>PROPER(Table3[[#This Row],[Gender]])</f>
        <v>Other</v>
      </c>
      <c r="E250" s="1" t="s">
        <v>560</v>
      </c>
      <c r="F250" s="1" t="str">
        <f>PROPER(Table3[[#This Row],[Country_Region]])</f>
        <v>Usa</v>
      </c>
      <c r="G250" s="1">
        <v>2023</v>
      </c>
      <c r="H250" s="1">
        <v>4.7</v>
      </c>
      <c r="I250" s="1">
        <f>IF(H250="", AVERAGEIF('CLEANED DATASET'!$G$2:$G$532,G250,'CLEANED DATASET'!$H212),H250)</f>
        <v>4.7</v>
      </c>
      <c r="J250" s="1">
        <v>6.2</v>
      </c>
      <c r="K250" s="1">
        <f t="shared" si="26"/>
        <v>6.2</v>
      </c>
      <c r="L250" s="1">
        <v>6.9</v>
      </c>
      <c r="M250" s="1">
        <f t="shared" si="27"/>
        <v>6.9</v>
      </c>
      <c r="N250" s="1">
        <v>3.1</v>
      </c>
      <c r="O250" s="1">
        <f t="shared" si="28"/>
        <v>3.1</v>
      </c>
      <c r="P250" s="1">
        <v>1.8</v>
      </c>
      <c r="Q250" s="1">
        <f t="shared" si="32"/>
        <v>1.8</v>
      </c>
      <c r="R250" s="1" t="s">
        <v>573</v>
      </c>
      <c r="S250" s="1" t="str">
        <f>PROPER(Table3[[#This Row],[Cancer_Type]])</f>
        <v>Breast</v>
      </c>
      <c r="T250" s="1" t="s">
        <v>593</v>
      </c>
      <c r="U250" s="4">
        <v>89951.86</v>
      </c>
      <c r="V250" s="1">
        <v>3.6</v>
      </c>
      <c r="W250" s="1">
        <f t="shared" ca="1" si="29"/>
        <v>7</v>
      </c>
      <c r="X250" s="1">
        <v>3.91</v>
      </c>
      <c r="Y250" s="1" t="str">
        <f t="shared" si="30"/>
        <v>Stage I</v>
      </c>
      <c r="Z250" s="10">
        <f t="shared" si="31"/>
        <v>89951.86</v>
      </c>
    </row>
    <row r="251" spans="1:26">
      <c r="A251" s="1" t="s">
        <v>235</v>
      </c>
      <c r="B251" s="1">
        <v>35</v>
      </c>
      <c r="C251" s="1" t="s">
        <v>543</v>
      </c>
      <c r="D251" s="1" t="str">
        <f>PROPER(Table3[[#This Row],[Gender]])</f>
        <v>Female</v>
      </c>
      <c r="E251" s="1" t="s">
        <v>551</v>
      </c>
      <c r="F251" s="1" t="str">
        <f>PROPER(Table3[[#This Row],[Country_Region]])</f>
        <v>Germany</v>
      </c>
      <c r="G251" s="1">
        <v>2023</v>
      </c>
      <c r="H251" s="1">
        <v>9.1999999999999993</v>
      </c>
      <c r="I251" s="1">
        <f>IF(H251="", AVERAGEIF('CLEANED DATASET'!$G$2:$G$532,G251,'CLEANED DATASET'!$H227),H251)</f>
        <v>9.1999999999999993</v>
      </c>
      <c r="J251" s="1">
        <v>8.4</v>
      </c>
      <c r="K251" s="1">
        <f t="shared" si="26"/>
        <v>8.4</v>
      </c>
      <c r="L251" s="1">
        <v>3.2</v>
      </c>
      <c r="M251" s="1">
        <f t="shared" si="27"/>
        <v>3.2</v>
      </c>
      <c r="N251" s="1">
        <v>8.9</v>
      </c>
      <c r="O251" s="1">
        <f t="shared" si="28"/>
        <v>8.9</v>
      </c>
      <c r="P251" s="1">
        <v>6.4</v>
      </c>
      <c r="Q251" s="1">
        <f t="shared" si="32"/>
        <v>6.4</v>
      </c>
      <c r="R251" s="1" t="s">
        <v>570</v>
      </c>
      <c r="S251" s="1" t="str">
        <f>PROPER(Table3[[#This Row],[Cancer_Type]])</f>
        <v>Skin</v>
      </c>
      <c r="T251" s="1" t="s">
        <v>594</v>
      </c>
      <c r="U251" s="8">
        <v>56388.78</v>
      </c>
      <c r="V251" s="1">
        <v>3.6</v>
      </c>
      <c r="W251" s="1">
        <f t="shared" ca="1" si="29"/>
        <v>3</v>
      </c>
      <c r="X251" s="1">
        <v>6.87</v>
      </c>
      <c r="Y251" s="1" t="str">
        <f t="shared" si="30"/>
        <v>Stage III</v>
      </c>
      <c r="Z251" s="10">
        <f t="shared" si="31"/>
        <v>56388.78</v>
      </c>
    </row>
    <row r="252" spans="1:26">
      <c r="A252" s="1" t="s">
        <v>277</v>
      </c>
      <c r="B252" s="1">
        <v>78</v>
      </c>
      <c r="C252" s="1" t="s">
        <v>541</v>
      </c>
      <c r="D252" s="1" t="str">
        <f>PROPER(Table3[[#This Row],[Gender]])</f>
        <v>Other</v>
      </c>
      <c r="E252" s="1" t="s">
        <v>556</v>
      </c>
      <c r="F252" s="1" t="str">
        <f>PROPER(Table3[[#This Row],[Country_Region]])</f>
        <v>India</v>
      </c>
      <c r="G252" s="1">
        <v>2022</v>
      </c>
      <c r="H252" s="1">
        <v>5.0999999999999996</v>
      </c>
      <c r="I252" s="1">
        <f>IF(H252="", AVERAGEIF('CLEANED DATASET'!$G$2:$G$532,G252,'CLEANED DATASET'!$H269),H252)</f>
        <v>5.0999999999999996</v>
      </c>
      <c r="J252" s="1">
        <v>8</v>
      </c>
      <c r="K252" s="1">
        <f t="shared" si="26"/>
        <v>8</v>
      </c>
      <c r="L252" s="1">
        <v>1.8</v>
      </c>
      <c r="M252" s="1">
        <f t="shared" si="27"/>
        <v>1.8</v>
      </c>
      <c r="N252" s="1">
        <v>4</v>
      </c>
      <c r="O252" s="1">
        <f t="shared" si="28"/>
        <v>4</v>
      </c>
      <c r="P252" s="1">
        <v>3.9</v>
      </c>
      <c r="Q252" s="1">
        <f t="shared" si="32"/>
        <v>3.9</v>
      </c>
      <c r="R252" s="1" t="s">
        <v>573</v>
      </c>
      <c r="S252" s="1" t="str">
        <f>PROPER(Table3[[#This Row],[Cancer_Type]])</f>
        <v>Breast</v>
      </c>
      <c r="T252" s="1" t="s">
        <v>592</v>
      </c>
      <c r="U252" s="4">
        <v>14492.38</v>
      </c>
      <c r="V252" s="1">
        <v>4.8</v>
      </c>
      <c r="W252" s="1">
        <f t="shared" ca="1" si="29"/>
        <v>6</v>
      </c>
      <c r="X252" s="1">
        <v>5.39</v>
      </c>
      <c r="Y252" s="1" t="str">
        <f t="shared" si="30"/>
        <v>Stage II</v>
      </c>
      <c r="Z252" s="10">
        <f t="shared" si="31"/>
        <v>14492.38</v>
      </c>
    </row>
    <row r="253" spans="1:26">
      <c r="A253" s="1" t="s">
        <v>340</v>
      </c>
      <c r="B253" s="1">
        <v>81</v>
      </c>
      <c r="C253" s="1" t="s">
        <v>546</v>
      </c>
      <c r="D253" s="1" t="str">
        <f>PROPER(Table3[[#This Row],[Gender]])</f>
        <v>Unknown</v>
      </c>
      <c r="E253" s="1" t="s">
        <v>548</v>
      </c>
      <c r="F253" s="1" t="str">
        <f>PROPER(Table3[[#This Row],[Country_Region]])</f>
        <v>Uk</v>
      </c>
      <c r="G253" s="1">
        <v>2022</v>
      </c>
      <c r="H253" s="1">
        <v>9.4</v>
      </c>
      <c r="I253" s="1">
        <f>IF(H253="", AVERAGEIF('CLEANED DATASET'!$G$2:$G$532,G253,'CLEANED DATASET'!$H332),H253)</f>
        <v>9.4</v>
      </c>
      <c r="J253" s="1">
        <v>8.4</v>
      </c>
      <c r="K253" s="1">
        <f t="shared" si="26"/>
        <v>8.4</v>
      </c>
      <c r="L253" s="1">
        <v>0.5</v>
      </c>
      <c r="M253" s="1">
        <f t="shared" si="27"/>
        <v>0.5</v>
      </c>
      <c r="N253" s="1">
        <v>3.5</v>
      </c>
      <c r="O253" s="1">
        <f t="shared" si="28"/>
        <v>3.5</v>
      </c>
      <c r="P253" s="1">
        <v>4.4000000000000004</v>
      </c>
      <c r="Q253" s="1">
        <f t="shared" si="32"/>
        <v>4.4000000000000004</v>
      </c>
      <c r="R253" s="1" t="s">
        <v>585</v>
      </c>
      <c r="S253" s="1" t="str">
        <f>PROPER(Table3[[#This Row],[Cancer_Type]])</f>
        <v>Prostate</v>
      </c>
      <c r="T253" s="1" t="s">
        <v>593</v>
      </c>
      <c r="U253" s="8">
        <v>44628.76</v>
      </c>
      <c r="V253" s="1">
        <v>7.5</v>
      </c>
      <c r="W253" s="1">
        <f t="shared" ca="1" si="29"/>
        <v>5</v>
      </c>
      <c r="X253" s="1">
        <v>5.46</v>
      </c>
      <c r="Y253" s="1" t="str">
        <f t="shared" si="30"/>
        <v>Stage II</v>
      </c>
      <c r="Z253" s="10">
        <f t="shared" si="31"/>
        <v>44628.76</v>
      </c>
    </row>
    <row r="254" spans="1:26">
      <c r="A254" s="1" t="s">
        <v>287</v>
      </c>
      <c r="B254" s="1">
        <v>40</v>
      </c>
      <c r="C254" s="1" t="s">
        <v>543</v>
      </c>
      <c r="D254" s="1" t="str">
        <f>PROPER(Table3[[#This Row],[Gender]])</f>
        <v>Female</v>
      </c>
      <c r="E254" s="1" t="s">
        <v>552</v>
      </c>
      <c r="F254" s="1" t="str">
        <f>PROPER(Table3[[#This Row],[Country_Region]])</f>
        <v>China</v>
      </c>
      <c r="G254" s="1">
        <v>2022</v>
      </c>
      <c r="H254" s="1">
        <v>0.3</v>
      </c>
      <c r="I254" s="1">
        <f>IF(H254="", AVERAGEIF('CLEANED DATASET'!$G$2:$G$532,G254,'CLEANED DATASET'!$H279),H254)</f>
        <v>0.3</v>
      </c>
      <c r="J254" s="1">
        <v>4</v>
      </c>
      <c r="K254" s="1">
        <f t="shared" si="26"/>
        <v>4</v>
      </c>
      <c r="L254" s="1">
        <v>9.1</v>
      </c>
      <c r="M254" s="1">
        <f t="shared" si="27"/>
        <v>9.1</v>
      </c>
      <c r="N254" s="1">
        <v>4.3</v>
      </c>
      <c r="O254" s="1">
        <f t="shared" si="28"/>
        <v>4.3</v>
      </c>
      <c r="P254" s="1">
        <v>8.8000000000000007</v>
      </c>
      <c r="Q254" s="1">
        <f t="shared" si="32"/>
        <v>8.8000000000000007</v>
      </c>
      <c r="R254" s="1" t="s">
        <v>600</v>
      </c>
      <c r="S254" s="1" t="str">
        <f>PROPER(Table3[[#This Row],[Cancer_Type]])</f>
        <v>Skin</v>
      </c>
      <c r="T254" s="1" t="s">
        <v>591</v>
      </c>
      <c r="U254" s="4">
        <v>27050</v>
      </c>
      <c r="V254" s="1">
        <v>3.6</v>
      </c>
      <c r="W254" s="1">
        <f t="shared" ca="1" si="29"/>
        <v>2</v>
      </c>
      <c r="X254" s="3">
        <f>ROUND(I254+K254+M254+O254+Q254+(10-V254)/6, 2)</f>
        <v>27.57</v>
      </c>
      <c r="Y254" s="1" t="str">
        <f t="shared" si="30"/>
        <v>Stage IV</v>
      </c>
      <c r="Z254" s="10">
        <f t="shared" si="31"/>
        <v>27050</v>
      </c>
    </row>
    <row r="255" spans="1:26">
      <c r="A255" s="1" t="s">
        <v>524</v>
      </c>
      <c r="B255" s="1">
        <v>76</v>
      </c>
      <c r="C255" s="1" t="s">
        <v>543</v>
      </c>
      <c r="D255" s="1" t="str">
        <f>PROPER(Table3[[#This Row],[Gender]])</f>
        <v>Female</v>
      </c>
      <c r="E255" s="1" t="s">
        <v>550</v>
      </c>
      <c r="F255" s="1" t="str">
        <f>PROPER(Table3[[#This Row],[Country_Region]])</f>
        <v>Pakistan</v>
      </c>
      <c r="G255" s="1">
        <v>2023</v>
      </c>
      <c r="H255" s="1">
        <v>3.5</v>
      </c>
      <c r="I255" s="1">
        <f>IF(H255="", AVERAGEIF('CLEANED DATASET'!$G$2:$G$532,G255,'CLEANED DATASET'!$H516),H255)</f>
        <v>3.5</v>
      </c>
      <c r="J255" s="1">
        <v>6.7</v>
      </c>
      <c r="K255" s="1">
        <f t="shared" si="26"/>
        <v>6.7</v>
      </c>
      <c r="L255" s="1">
        <v>3</v>
      </c>
      <c r="M255" s="1">
        <f t="shared" si="27"/>
        <v>3</v>
      </c>
      <c r="N255" s="1">
        <v>5.8</v>
      </c>
      <c r="O255" s="1">
        <f t="shared" si="28"/>
        <v>5.8</v>
      </c>
      <c r="P255" s="1">
        <v>8.3000000000000007</v>
      </c>
      <c r="Q255" s="1">
        <f t="shared" si="32"/>
        <v>8.3000000000000007</v>
      </c>
      <c r="R255" s="1" t="s">
        <v>573</v>
      </c>
      <c r="S255" s="1" t="str">
        <f>PROPER(Table3[[#This Row],[Cancer_Type]])</f>
        <v>Breast</v>
      </c>
      <c r="T255" s="1" t="s">
        <v>590</v>
      </c>
      <c r="U255" s="4">
        <v>49504.69</v>
      </c>
      <c r="V255" s="1">
        <v>7.2</v>
      </c>
      <c r="W255" s="1">
        <f t="shared" ca="1" si="29"/>
        <v>5</v>
      </c>
      <c r="X255" s="1">
        <v>5.15</v>
      </c>
      <c r="Y255" s="1" t="str">
        <f t="shared" si="30"/>
        <v>Stage II</v>
      </c>
      <c r="Z255" s="10">
        <f t="shared" si="31"/>
        <v>49504.69</v>
      </c>
    </row>
    <row r="256" spans="1:26">
      <c r="A256" s="1" t="s">
        <v>406</v>
      </c>
      <c r="B256" s="1">
        <v>70</v>
      </c>
      <c r="C256" s="1" t="s">
        <v>542</v>
      </c>
      <c r="D256" s="1" t="str">
        <f>PROPER(Table3[[#This Row],[Gender]])</f>
        <v>Male</v>
      </c>
      <c r="E256" s="1" t="s">
        <v>548</v>
      </c>
      <c r="F256" s="1" t="str">
        <f>PROPER(Table3[[#This Row],[Country_Region]])</f>
        <v>Uk</v>
      </c>
      <c r="G256" s="1">
        <v>2022</v>
      </c>
      <c r="H256" s="1">
        <v>4</v>
      </c>
      <c r="I256" s="1">
        <f>IF(H256="", AVERAGEIF('CLEANED DATASET'!$G$2:$G$532,G256,'CLEANED DATASET'!$H398),H256)</f>
        <v>4</v>
      </c>
      <c r="J256" s="1">
        <v>8</v>
      </c>
      <c r="K256" s="1">
        <f t="shared" si="26"/>
        <v>8</v>
      </c>
      <c r="L256" s="1">
        <v>0.7</v>
      </c>
      <c r="M256" s="1">
        <f t="shared" si="27"/>
        <v>0.7</v>
      </c>
      <c r="N256" s="1">
        <v>3.9</v>
      </c>
      <c r="O256" s="1">
        <f t="shared" si="28"/>
        <v>3.9</v>
      </c>
      <c r="P256" s="1">
        <v>4.8</v>
      </c>
      <c r="Q256" s="1">
        <f t="shared" si="32"/>
        <v>4.8</v>
      </c>
      <c r="R256" s="1" t="s">
        <v>572</v>
      </c>
      <c r="S256" s="1" t="str">
        <f>PROPER(Table3[[#This Row],[Cancer_Type]])</f>
        <v>Leukemia</v>
      </c>
      <c r="T256" s="1" t="s">
        <v>592</v>
      </c>
      <c r="U256" s="4">
        <v>40345.82</v>
      </c>
      <c r="V256" s="1">
        <v>4.9000000000000004</v>
      </c>
      <c r="W256" s="1">
        <f t="shared" ca="1" si="29"/>
        <v>6</v>
      </c>
      <c r="X256" s="1">
        <v>4.5599999999999996</v>
      </c>
      <c r="Y256" s="1" t="str">
        <f t="shared" si="30"/>
        <v>Stage II</v>
      </c>
      <c r="Z256" s="10">
        <f t="shared" si="31"/>
        <v>40345.82</v>
      </c>
    </row>
    <row r="257" spans="1:26">
      <c r="A257" s="1" t="s">
        <v>136</v>
      </c>
      <c r="B257" s="1">
        <v>80</v>
      </c>
      <c r="C257" s="1" t="s">
        <v>542</v>
      </c>
      <c r="D257" s="1" t="str">
        <f>PROPER(Table3[[#This Row],[Gender]])</f>
        <v>Male</v>
      </c>
      <c r="E257" s="1" t="s">
        <v>548</v>
      </c>
      <c r="F257" s="1" t="str">
        <f>PROPER(Table3[[#This Row],[Country_Region]])</f>
        <v>Uk</v>
      </c>
      <c r="G257" s="1">
        <v>2024</v>
      </c>
      <c r="H257" s="1">
        <v>7.9</v>
      </c>
      <c r="I257" s="1">
        <f>IF(H257="", AVERAGEIF('CLEANED DATASET'!$G$2:$G$532,G257,'CLEANED DATASET'!$H128),H257)</f>
        <v>7.9</v>
      </c>
      <c r="J257" s="1">
        <v>3.7</v>
      </c>
      <c r="K257" s="1">
        <f t="shared" si="26"/>
        <v>3.7</v>
      </c>
      <c r="L257" s="1">
        <v>5.0999999999999996</v>
      </c>
      <c r="M257" s="1">
        <f t="shared" si="27"/>
        <v>5.0999999999999996</v>
      </c>
      <c r="N257" s="1">
        <v>9.3000000000000007</v>
      </c>
      <c r="O257" s="1">
        <f t="shared" si="28"/>
        <v>9.3000000000000007</v>
      </c>
      <c r="P257" s="1">
        <v>0.9</v>
      </c>
      <c r="Q257" s="1">
        <f t="shared" si="32"/>
        <v>0.9</v>
      </c>
      <c r="R257" s="1" t="s">
        <v>579</v>
      </c>
      <c r="S257" s="1" t="str">
        <f>PROPER(Table3[[#This Row],[Cancer_Type]])</f>
        <v>Prostate</v>
      </c>
      <c r="T257" s="1" t="s">
        <v>593</v>
      </c>
      <c r="U257" s="4">
        <v>33867.040000000001</v>
      </c>
      <c r="V257" s="1">
        <v>8.1</v>
      </c>
      <c r="W257" s="1">
        <f t="shared" ca="1" si="29"/>
        <v>1</v>
      </c>
      <c r="X257" s="3">
        <f>ROUND(I257+K257+M257+O257+Q257+(10-V257)/6, 2)</f>
        <v>27.22</v>
      </c>
      <c r="Y257" s="1" t="str">
        <f t="shared" si="30"/>
        <v>Stage IV</v>
      </c>
      <c r="Z257" s="10">
        <f t="shared" si="31"/>
        <v>33867.040000000001</v>
      </c>
    </row>
    <row r="258" spans="1:26">
      <c r="A258" s="1" t="s">
        <v>474</v>
      </c>
      <c r="B258" s="1">
        <v>26</v>
      </c>
      <c r="C258" s="1" t="s">
        <v>541</v>
      </c>
      <c r="D258" s="1" t="str">
        <f>PROPER(Table3[[#This Row],[Gender]])</f>
        <v>Other</v>
      </c>
      <c r="E258" s="1" t="s">
        <v>552</v>
      </c>
      <c r="F258" s="1" t="str">
        <f>PROPER(Table3[[#This Row],[Country_Region]])</f>
        <v>China</v>
      </c>
      <c r="G258" s="1">
        <v>2023</v>
      </c>
      <c r="H258" s="1">
        <v>1</v>
      </c>
      <c r="I258" s="1">
        <f>IF(H258="", AVERAGEIF('CLEANED DATASET'!$G$2:$G$532,G258,'CLEANED DATASET'!$H466),H258)</f>
        <v>1</v>
      </c>
      <c r="J258" s="1">
        <v>1.9</v>
      </c>
      <c r="K258" s="1">
        <f t="shared" ref="K258:K321" si="33">IF(J258="",ROUND(AVERAGEIF(G262:G788,G258,J258:J788),1),J258)</f>
        <v>1.9</v>
      </c>
      <c r="L258" s="1">
        <v>2.9</v>
      </c>
      <c r="M258" s="1">
        <f t="shared" ref="M258:M321" si="34">IF(L258="", AVERAGEIF(G258:G788, G258,L258:L788),L258)</f>
        <v>2.9</v>
      </c>
      <c r="N258" s="1">
        <v>7.4</v>
      </c>
      <c r="O258" s="1">
        <f t="shared" ref="O258:O321" si="35">IF(N258="",AVERAGEIF(G258:G788,G258,N258:N788),N258)</f>
        <v>7.4</v>
      </c>
      <c r="P258" s="1">
        <v>4.4000000000000004</v>
      </c>
      <c r="Q258" s="1">
        <f t="shared" si="32"/>
        <v>4.4000000000000004</v>
      </c>
      <c r="R258" s="1" t="s">
        <v>579</v>
      </c>
      <c r="S258" s="1" t="str">
        <f>PROPER(Table3[[#This Row],[Cancer_Type]])</f>
        <v>Prostate</v>
      </c>
      <c r="T258" s="1" t="s">
        <v>594</v>
      </c>
      <c r="U258" s="4">
        <v>19583.03</v>
      </c>
      <c r="V258" s="1">
        <f>ROUND(10-((I258+K258+M258+O258+Q258)/5),1)</f>
        <v>6.5</v>
      </c>
      <c r="W258" s="1">
        <f t="shared" ref="W258:W321" ca="1" si="36">IF(Y258="Stage 0",RANDBETWEEN(9,10),
IF(Y258="Stage I",RANDBETWEEN(7,8),
IF(Y258="Stage II",RANDBETWEEN(5,6),
IF(Y258="Stage III",RANDBETWEEN(3,4),
IF(Y258="Stage IV",RANDBETWEEN(1,2),"")))))</f>
        <v>5</v>
      </c>
      <c r="X258" s="1">
        <v>5.31</v>
      </c>
      <c r="Y258" s="1" t="str">
        <f t="shared" ref="Y258:Y321" si="37">IF(X258&lt;=2,"Stage 0",IF(X258&lt;=4,"Stage I",IF(X258&lt;=6,"Stage II",IF(X258&lt;=8,"Stage III", "Stage IV"))))</f>
        <v>Stage II</v>
      </c>
      <c r="Z258" s="10">
        <f t="shared" si="31"/>
        <v>19583.03</v>
      </c>
    </row>
    <row r="259" spans="1:26">
      <c r="A259" s="1" t="s">
        <v>142</v>
      </c>
      <c r="B259" s="1">
        <v>20</v>
      </c>
      <c r="C259" s="1" t="s">
        <v>543</v>
      </c>
      <c r="D259" s="1" t="str">
        <f>PROPER(Table3[[#This Row],[Gender]])</f>
        <v>Female</v>
      </c>
      <c r="E259" s="1" t="s">
        <v>560</v>
      </c>
      <c r="F259" s="1" t="str">
        <f>PROPER(Table3[[#This Row],[Country_Region]])</f>
        <v>Usa</v>
      </c>
      <c r="G259" s="1">
        <v>2022</v>
      </c>
      <c r="H259" s="1">
        <v>0.9</v>
      </c>
      <c r="I259" s="1">
        <f>IF(H259="", AVERAGEIF('CLEANED DATASET'!$G$2:$G$532,G259,'CLEANED DATASET'!$H134),H259)</f>
        <v>0.9</v>
      </c>
      <c r="J259" s="1">
        <v>1.5</v>
      </c>
      <c r="K259" s="1">
        <f t="shared" si="33"/>
        <v>1.5</v>
      </c>
      <c r="L259" s="1">
        <v>2.1</v>
      </c>
      <c r="M259" s="1">
        <f t="shared" si="34"/>
        <v>2.1</v>
      </c>
      <c r="N259" s="1">
        <v>0.7</v>
      </c>
      <c r="O259" s="1">
        <f t="shared" si="35"/>
        <v>0.7</v>
      </c>
      <c r="P259" s="1">
        <v>9.6</v>
      </c>
      <c r="Q259" s="1">
        <f t="shared" si="32"/>
        <v>9.6</v>
      </c>
      <c r="R259" s="1" t="s">
        <v>579</v>
      </c>
      <c r="S259" s="1" t="str">
        <f>PROPER(Table3[[#This Row],[Cancer_Type]])</f>
        <v>Prostate</v>
      </c>
      <c r="T259" s="1" t="s">
        <v>590</v>
      </c>
      <c r="U259" s="4">
        <v>68597.259999999995</v>
      </c>
      <c r="V259" s="1">
        <v>0.3</v>
      </c>
      <c r="W259" s="1">
        <f t="shared" ca="1" si="36"/>
        <v>7</v>
      </c>
      <c r="X259" s="1">
        <v>2.4500000000000002</v>
      </c>
      <c r="Y259" s="1" t="str">
        <f t="shared" si="37"/>
        <v>Stage I</v>
      </c>
      <c r="Z259" s="10">
        <f t="shared" si="31"/>
        <v>68597.259999999995</v>
      </c>
    </row>
    <row r="260" spans="1:26">
      <c r="A260" s="1" t="s">
        <v>519</v>
      </c>
      <c r="B260" s="1">
        <v>51</v>
      </c>
      <c r="C260" s="1" t="s">
        <v>541</v>
      </c>
      <c r="D260" s="1" t="str">
        <f>PROPER(Table3[[#This Row],[Gender]])</f>
        <v>Other</v>
      </c>
      <c r="E260" s="1" t="s">
        <v>549</v>
      </c>
      <c r="F260" s="1" t="str">
        <f>PROPER(Table3[[#This Row],[Country_Region]])</f>
        <v>Australia</v>
      </c>
      <c r="G260" s="1">
        <v>2022</v>
      </c>
      <c r="H260" s="1">
        <v>9.8000000000000007</v>
      </c>
      <c r="I260" s="1">
        <f>IF(H260="", AVERAGEIF('CLEANED DATASET'!$G$2:$G$532,G260,'CLEANED DATASET'!$H511),H260)</f>
        <v>9.8000000000000007</v>
      </c>
      <c r="J260" s="1">
        <v>7.8</v>
      </c>
      <c r="K260" s="1">
        <f t="shared" si="33"/>
        <v>7.8</v>
      </c>
      <c r="L260" s="1">
        <v>6.2</v>
      </c>
      <c r="M260" s="1">
        <f t="shared" si="34"/>
        <v>6.2</v>
      </c>
      <c r="N260" s="1">
        <v>4.2</v>
      </c>
      <c r="O260" s="1">
        <f t="shared" si="35"/>
        <v>4.2</v>
      </c>
      <c r="P260" s="1"/>
      <c r="Q260" s="3">
        <f t="shared" si="32"/>
        <v>5.7113636363636386</v>
      </c>
      <c r="R260" s="1" t="s">
        <v>571</v>
      </c>
      <c r="S260" s="1" t="str">
        <f>PROPER(Table3[[#This Row],[Cancer_Type]])</f>
        <v>Lung</v>
      </c>
      <c r="T260" s="1" t="s">
        <v>592</v>
      </c>
      <c r="U260" s="4">
        <v>92809.5</v>
      </c>
      <c r="V260" s="1">
        <v>3.2</v>
      </c>
      <c r="W260" s="1">
        <f t="shared" ca="1" si="36"/>
        <v>6</v>
      </c>
      <c r="X260" s="1">
        <v>5.53</v>
      </c>
      <c r="Y260" s="1" t="str">
        <f t="shared" si="37"/>
        <v>Stage II</v>
      </c>
      <c r="Z260" s="10">
        <f t="shared" si="31"/>
        <v>92809.5</v>
      </c>
    </row>
    <row r="261" spans="1:26">
      <c r="A261" s="1" t="s">
        <v>273</v>
      </c>
      <c r="B261" s="1">
        <v>64</v>
      </c>
      <c r="C261" s="1" t="s">
        <v>541</v>
      </c>
      <c r="D261" s="1" t="str">
        <f>PROPER(Table3[[#This Row],[Gender]])</f>
        <v>Other</v>
      </c>
      <c r="E261" s="1" t="s">
        <v>548</v>
      </c>
      <c r="F261" s="1" t="str">
        <f>PROPER(Table3[[#This Row],[Country_Region]])</f>
        <v>Uk</v>
      </c>
      <c r="G261" s="1">
        <v>2022</v>
      </c>
      <c r="H261" s="1">
        <v>7.9</v>
      </c>
      <c r="I261" s="1">
        <f>IF(H261="", AVERAGEIF('CLEANED DATASET'!$G$2:$G$532,G261,'CLEANED DATASET'!$H265),H261)</f>
        <v>7.9</v>
      </c>
      <c r="J261" s="1">
        <v>3.4</v>
      </c>
      <c r="K261" s="1">
        <f t="shared" si="33"/>
        <v>3.4</v>
      </c>
      <c r="L261" s="1">
        <v>5.3</v>
      </c>
      <c r="M261" s="1">
        <f t="shared" si="34"/>
        <v>5.3</v>
      </c>
      <c r="N261" s="1">
        <v>4.4000000000000004</v>
      </c>
      <c r="O261" s="1">
        <f t="shared" si="35"/>
        <v>4.4000000000000004</v>
      </c>
      <c r="P261" s="1">
        <v>1.9</v>
      </c>
      <c r="Q261" s="1">
        <f t="shared" si="32"/>
        <v>1.9</v>
      </c>
      <c r="R261" s="1" t="s">
        <v>576</v>
      </c>
      <c r="S261" s="1" t="str">
        <f>PROPER(Table3[[#This Row],[Cancer_Type]])</f>
        <v>Cervical</v>
      </c>
      <c r="T261" s="1" t="s">
        <v>592</v>
      </c>
      <c r="U261" s="4">
        <v>33761.47</v>
      </c>
      <c r="V261" s="1">
        <v>4</v>
      </c>
      <c r="W261" s="1">
        <f t="shared" ca="1" si="36"/>
        <v>5</v>
      </c>
      <c r="X261" s="1">
        <v>5.28</v>
      </c>
      <c r="Y261" s="1" t="str">
        <f t="shared" si="37"/>
        <v>Stage II</v>
      </c>
      <c r="Z261" s="10">
        <f t="shared" si="31"/>
        <v>33761.47</v>
      </c>
    </row>
    <row r="262" spans="1:26">
      <c r="A262" s="1" t="s">
        <v>55</v>
      </c>
      <c r="B262" s="1">
        <v>24</v>
      </c>
      <c r="C262" s="1" t="s">
        <v>542</v>
      </c>
      <c r="D262" s="1" t="str">
        <f>PROPER(Table3[[#This Row],[Gender]])</f>
        <v>Male</v>
      </c>
      <c r="E262" s="1" t="s">
        <v>549</v>
      </c>
      <c r="F262" s="1" t="str">
        <f>PROPER(Table3[[#This Row],[Country_Region]])</f>
        <v>Australia</v>
      </c>
      <c r="G262" s="1">
        <v>2022</v>
      </c>
      <c r="H262" s="1">
        <v>5.7</v>
      </c>
      <c r="I262" s="1">
        <f>IF(H262="", AVERAGEIF('CLEANED DATASET'!$G$2:$G$532,G262,'CLEANED DATASET'!$H47),H262)</f>
        <v>5.7</v>
      </c>
      <c r="J262" s="1">
        <v>3.5</v>
      </c>
      <c r="K262" s="1">
        <f t="shared" si="33"/>
        <v>3.5</v>
      </c>
      <c r="L262" s="1">
        <v>5.8</v>
      </c>
      <c r="M262" s="1">
        <f t="shared" si="34"/>
        <v>5.8</v>
      </c>
      <c r="N262" s="1">
        <v>1.7</v>
      </c>
      <c r="O262" s="1">
        <f t="shared" si="35"/>
        <v>1.7</v>
      </c>
      <c r="P262" s="1">
        <v>0.2</v>
      </c>
      <c r="Q262" s="1">
        <f t="shared" si="32"/>
        <v>0.2</v>
      </c>
      <c r="R262" s="1" t="s">
        <v>574</v>
      </c>
      <c r="S262" s="1" t="str">
        <f>PROPER(Table3[[#This Row],[Cancer_Type]])</f>
        <v>Colon</v>
      </c>
      <c r="T262" s="1" t="s">
        <v>592</v>
      </c>
      <c r="U262" s="4">
        <v>17248.919999999998</v>
      </c>
      <c r="V262" s="1">
        <v>7.7</v>
      </c>
      <c r="W262" s="1">
        <f t="shared" ca="1" si="36"/>
        <v>5</v>
      </c>
      <c r="X262" s="1">
        <v>4.55</v>
      </c>
      <c r="Y262" s="1" t="str">
        <f t="shared" si="37"/>
        <v>Stage II</v>
      </c>
      <c r="Z262" s="10">
        <f t="shared" si="31"/>
        <v>17248.919999999998</v>
      </c>
    </row>
    <row r="263" spans="1:26">
      <c r="A263" s="1" t="s">
        <v>422</v>
      </c>
      <c r="B263" s="1">
        <v>38</v>
      </c>
      <c r="C263" s="1" t="s">
        <v>542</v>
      </c>
      <c r="D263" s="1" t="str">
        <f>PROPER(Table3[[#This Row],[Gender]])</f>
        <v>Male</v>
      </c>
      <c r="E263" s="1" t="s">
        <v>555</v>
      </c>
      <c r="F263" s="1" t="str">
        <f>PROPER(Table3[[#This Row],[Country_Region]])</f>
        <v>Russia</v>
      </c>
      <c r="G263" s="1">
        <v>2022</v>
      </c>
      <c r="H263" s="1">
        <v>0.1</v>
      </c>
      <c r="I263" s="1">
        <f>IF(H263="", AVERAGEIF('CLEANED DATASET'!$G$2:$G$532,G263,'CLEANED DATASET'!$H414),H263)</f>
        <v>0.1</v>
      </c>
      <c r="J263" s="1">
        <v>4.5999999999999996</v>
      </c>
      <c r="K263" s="1">
        <f t="shared" si="33"/>
        <v>4.5999999999999996</v>
      </c>
      <c r="L263" s="1">
        <v>5.5</v>
      </c>
      <c r="M263" s="1">
        <f t="shared" si="34"/>
        <v>5.5</v>
      </c>
      <c r="N263" s="1">
        <v>1.1000000000000001</v>
      </c>
      <c r="O263" s="1">
        <f t="shared" si="35"/>
        <v>1.1000000000000001</v>
      </c>
      <c r="P263" s="1">
        <v>9.4</v>
      </c>
      <c r="Q263" s="1">
        <f t="shared" si="32"/>
        <v>9.4</v>
      </c>
      <c r="R263" s="1" t="s">
        <v>572</v>
      </c>
      <c r="S263" s="1" t="str">
        <f>PROPER(Table3[[#This Row],[Cancer_Type]])</f>
        <v>Leukemia</v>
      </c>
      <c r="T263" s="1" t="s">
        <v>592</v>
      </c>
      <c r="U263" s="4">
        <v>90584.37</v>
      </c>
      <c r="V263" s="1">
        <v>9.6</v>
      </c>
      <c r="W263" s="1">
        <f t="shared" ca="1" si="36"/>
        <v>8</v>
      </c>
      <c r="X263" s="1">
        <v>2.88</v>
      </c>
      <c r="Y263" s="1" t="str">
        <f t="shared" si="37"/>
        <v>Stage I</v>
      </c>
      <c r="Z263" s="10">
        <f t="shared" si="31"/>
        <v>90584.37</v>
      </c>
    </row>
    <row r="264" spans="1:26">
      <c r="A264" s="1" t="s">
        <v>407</v>
      </c>
      <c r="B264" s="1">
        <v>37</v>
      </c>
      <c r="C264" s="1" t="s">
        <v>543</v>
      </c>
      <c r="D264" s="1" t="str">
        <f>PROPER(Table3[[#This Row],[Gender]])</f>
        <v>Female</v>
      </c>
      <c r="E264" s="1" t="s">
        <v>548</v>
      </c>
      <c r="F264" s="1" t="str">
        <f>PROPER(Table3[[#This Row],[Country_Region]])</f>
        <v>Uk</v>
      </c>
      <c r="G264" s="1">
        <v>2022</v>
      </c>
      <c r="H264" s="1">
        <v>9.8000000000000007</v>
      </c>
      <c r="I264" s="1">
        <f>IF(H264="", AVERAGEIF('CLEANED DATASET'!$G$2:$G$532,G264,'CLEANED DATASET'!$H399),H264)</f>
        <v>9.8000000000000007</v>
      </c>
      <c r="J264" s="1">
        <v>8.1999999999999993</v>
      </c>
      <c r="K264" s="1">
        <f t="shared" si="33"/>
        <v>8.1999999999999993</v>
      </c>
      <c r="L264" s="1">
        <v>4.5999999999999996</v>
      </c>
      <c r="M264" s="1">
        <f t="shared" si="34"/>
        <v>4.5999999999999996</v>
      </c>
      <c r="N264" s="1">
        <v>9.5</v>
      </c>
      <c r="O264" s="1">
        <f t="shared" si="35"/>
        <v>9.5</v>
      </c>
      <c r="P264" s="1">
        <v>8</v>
      </c>
      <c r="Q264" s="1">
        <f t="shared" si="32"/>
        <v>8</v>
      </c>
      <c r="R264" s="1" t="s">
        <v>576</v>
      </c>
      <c r="S264" s="1" t="str">
        <f>PROPER(Table3[[#This Row],[Cancer_Type]])</f>
        <v>Cervical</v>
      </c>
      <c r="T264" s="1" t="s">
        <v>591</v>
      </c>
      <c r="U264" s="4">
        <v>36919.410000000003</v>
      </c>
      <c r="V264" s="1">
        <f>ROUND(10-((I264+K264+M264+O264+Q264)/5),1)</f>
        <v>2</v>
      </c>
      <c r="W264" s="1">
        <f t="shared" ca="1" si="36"/>
        <v>4</v>
      </c>
      <c r="X264" s="1">
        <v>7.84</v>
      </c>
      <c r="Y264" s="1" t="str">
        <f t="shared" si="37"/>
        <v>Stage III</v>
      </c>
      <c r="Z264" s="10">
        <f t="shared" si="31"/>
        <v>36919.410000000003</v>
      </c>
    </row>
    <row r="265" spans="1:26">
      <c r="A265" s="1" t="s">
        <v>152</v>
      </c>
      <c r="B265" s="1">
        <v>42</v>
      </c>
      <c r="C265" s="1" t="s">
        <v>543</v>
      </c>
      <c r="D265" s="1" t="str">
        <f>PROPER(Table3[[#This Row],[Gender]])</f>
        <v>Female</v>
      </c>
      <c r="E265" s="1" t="s">
        <v>550</v>
      </c>
      <c r="F265" s="1" t="str">
        <f>PROPER(Table3[[#This Row],[Country_Region]])</f>
        <v>Pakistan</v>
      </c>
      <c r="G265" s="1">
        <v>2022</v>
      </c>
      <c r="H265" s="1">
        <v>9.1999999999999993</v>
      </c>
      <c r="I265" s="1">
        <f>IF(H265="", AVERAGEIF('CLEANED DATASET'!$G$2:$G$532,G265,'CLEANED DATASET'!$H144),H265)</f>
        <v>9.1999999999999993</v>
      </c>
      <c r="J265" s="1">
        <v>0.1</v>
      </c>
      <c r="K265" s="1">
        <f t="shared" si="33"/>
        <v>0.1</v>
      </c>
      <c r="L265" s="1">
        <v>4.5999999999999996</v>
      </c>
      <c r="M265" s="1">
        <f t="shared" si="34"/>
        <v>4.5999999999999996</v>
      </c>
      <c r="N265" s="1">
        <v>0.1</v>
      </c>
      <c r="O265" s="1">
        <f t="shared" si="35"/>
        <v>0.1</v>
      </c>
      <c r="P265" s="1">
        <v>1.8</v>
      </c>
      <c r="Q265" s="1">
        <f t="shared" si="32"/>
        <v>1.8</v>
      </c>
      <c r="R265" s="1" t="s">
        <v>578</v>
      </c>
      <c r="S265" s="1" t="str">
        <f>PROPER(Table3[[#This Row],[Cancer_Type]])</f>
        <v>Liver</v>
      </c>
      <c r="T265" s="1" t="s">
        <v>594</v>
      </c>
      <c r="U265" s="4">
        <v>39596.11</v>
      </c>
      <c r="V265" s="1">
        <v>0.6</v>
      </c>
      <c r="W265" s="1">
        <f t="shared" ca="1" si="36"/>
        <v>8</v>
      </c>
      <c r="X265" s="1">
        <v>3.95</v>
      </c>
      <c r="Y265" s="1" t="str">
        <f t="shared" si="37"/>
        <v>Stage I</v>
      </c>
      <c r="Z265" s="10">
        <f t="shared" ref="Z265:Z328" si="38">IF(U265&lt;&gt;"",U265,ROUND(AVERAGEIF(S265:S795,S265,U265:U795),2))</f>
        <v>39596.11</v>
      </c>
    </row>
    <row r="266" spans="1:26">
      <c r="A266" s="1" t="s">
        <v>505</v>
      </c>
      <c r="B266" s="1">
        <v>39</v>
      </c>
      <c r="C266" s="1" t="s">
        <v>543</v>
      </c>
      <c r="D266" s="1" t="str">
        <f>PROPER(Table3[[#This Row],[Gender]])</f>
        <v>Female</v>
      </c>
      <c r="E266" s="1" t="s">
        <v>631</v>
      </c>
      <c r="F266" s="1" t="str">
        <f>PROPER(Table3[[#This Row],[Country_Region]])</f>
        <v>Uk</v>
      </c>
      <c r="G266" s="1">
        <v>2022</v>
      </c>
      <c r="H266" s="1">
        <v>0.6</v>
      </c>
      <c r="I266" s="1">
        <f>IF(H266="", AVERAGEIF('CLEANED DATASET'!$G$2:$G$532,G266,'CLEANED DATASET'!$H497),H266)</f>
        <v>0.6</v>
      </c>
      <c r="J266" s="1">
        <v>4.8</v>
      </c>
      <c r="K266" s="1">
        <f t="shared" si="33"/>
        <v>4.8</v>
      </c>
      <c r="L266" s="1">
        <v>0.2</v>
      </c>
      <c r="M266" s="1">
        <f t="shared" si="34"/>
        <v>0.2</v>
      </c>
      <c r="N266" s="1">
        <v>7.6</v>
      </c>
      <c r="O266" s="1">
        <f t="shared" si="35"/>
        <v>7.6</v>
      </c>
      <c r="P266" s="1">
        <v>3.5</v>
      </c>
      <c r="Q266" s="1">
        <f t="shared" si="32"/>
        <v>3.5</v>
      </c>
      <c r="R266" s="1" t="s">
        <v>574</v>
      </c>
      <c r="S266" s="1" t="str">
        <f>PROPER(Table3[[#This Row],[Cancer_Type]])</f>
        <v>Colon</v>
      </c>
      <c r="T266" s="1" t="s">
        <v>593</v>
      </c>
      <c r="U266" s="4">
        <v>21271.25</v>
      </c>
      <c r="V266" s="1">
        <v>7.6</v>
      </c>
      <c r="W266" s="1">
        <f t="shared" ca="1" si="36"/>
        <v>6</v>
      </c>
      <c r="X266" s="1">
        <v>4.3099999999999996</v>
      </c>
      <c r="Y266" s="1" t="str">
        <f t="shared" si="37"/>
        <v>Stage II</v>
      </c>
      <c r="Z266" s="10">
        <f t="shared" si="38"/>
        <v>21271.25</v>
      </c>
    </row>
    <row r="267" spans="1:26">
      <c r="A267" s="1" t="s">
        <v>258</v>
      </c>
      <c r="B267" s="1">
        <v>82</v>
      </c>
      <c r="C267" s="1" t="s">
        <v>541</v>
      </c>
      <c r="D267" s="1" t="str">
        <f>PROPER(Table3[[#This Row],[Gender]])</f>
        <v>Other</v>
      </c>
      <c r="E267" s="1" t="s">
        <v>550</v>
      </c>
      <c r="F267" s="1" t="str">
        <f>PROPER(Table3[[#This Row],[Country_Region]])</f>
        <v>Pakistan</v>
      </c>
      <c r="G267" s="1">
        <v>2024</v>
      </c>
      <c r="H267" s="1">
        <v>8.1999999999999993</v>
      </c>
      <c r="I267" s="1">
        <f>IF(H267="", AVERAGEIF('CLEANED DATASET'!$G$2:$G$532,G267,'CLEANED DATASET'!$H250),H267)</f>
        <v>8.1999999999999993</v>
      </c>
      <c r="J267" s="1">
        <v>4.8</v>
      </c>
      <c r="K267" s="1">
        <f t="shared" si="33"/>
        <v>4.8</v>
      </c>
      <c r="L267" s="1">
        <v>6.4</v>
      </c>
      <c r="M267" s="1">
        <f t="shared" si="34"/>
        <v>6.4</v>
      </c>
      <c r="N267" s="1">
        <v>2.1</v>
      </c>
      <c r="O267" s="1">
        <f t="shared" si="35"/>
        <v>2.1</v>
      </c>
      <c r="P267" s="1"/>
      <c r="Q267" s="3">
        <f t="shared" si="32"/>
        <v>3.8593023255813979</v>
      </c>
      <c r="R267" s="1" t="s">
        <v>579</v>
      </c>
      <c r="S267" s="1" t="str">
        <f>PROPER(Table3[[#This Row],[Cancer_Type]])</f>
        <v>Prostate</v>
      </c>
      <c r="T267" s="1" t="s">
        <v>593</v>
      </c>
      <c r="U267" s="4">
        <v>95165.06</v>
      </c>
      <c r="V267" s="1">
        <v>1.7</v>
      </c>
      <c r="W267" s="1">
        <f t="shared" ca="1" si="36"/>
        <v>8</v>
      </c>
      <c r="X267" s="1">
        <v>3.89</v>
      </c>
      <c r="Y267" s="1" t="str">
        <f t="shared" si="37"/>
        <v>Stage I</v>
      </c>
      <c r="Z267" s="10">
        <f t="shared" si="38"/>
        <v>95165.06</v>
      </c>
    </row>
    <row r="268" spans="1:26">
      <c r="A268" s="1" t="s">
        <v>421</v>
      </c>
      <c r="B268" s="1">
        <v>58</v>
      </c>
      <c r="C268" s="1" t="s">
        <v>546</v>
      </c>
      <c r="D268" s="1" t="str">
        <f>PROPER(Table3[[#This Row],[Gender]])</f>
        <v>Unknown</v>
      </c>
      <c r="E268" s="1" t="s">
        <v>550</v>
      </c>
      <c r="F268" s="1" t="str">
        <f>PROPER(Table3[[#This Row],[Country_Region]])</f>
        <v>Pakistan</v>
      </c>
      <c r="G268" s="1">
        <v>2024</v>
      </c>
      <c r="H268" s="1">
        <v>7.7</v>
      </c>
      <c r="I268" s="1">
        <f>IF(H268="", AVERAGEIF('CLEANED DATASET'!$G$2:$G$532,G268,'CLEANED DATASET'!$H413),H268)</f>
        <v>7.7</v>
      </c>
      <c r="J268" s="1">
        <v>0.1</v>
      </c>
      <c r="K268" s="1">
        <f t="shared" si="33"/>
        <v>0.1</v>
      </c>
      <c r="L268" s="1">
        <v>9.6</v>
      </c>
      <c r="M268" s="1">
        <f t="shared" si="34"/>
        <v>9.6</v>
      </c>
      <c r="N268" s="1">
        <v>3.1</v>
      </c>
      <c r="O268" s="1">
        <f t="shared" si="35"/>
        <v>3.1</v>
      </c>
      <c r="P268" s="1">
        <v>0.6</v>
      </c>
      <c r="Q268" s="1">
        <f t="shared" si="32"/>
        <v>0.6</v>
      </c>
      <c r="R268" s="1" t="s">
        <v>572</v>
      </c>
      <c r="S268" s="1" t="str">
        <f>PROPER(Table3[[#This Row],[Cancer_Type]])</f>
        <v>Leukemia</v>
      </c>
      <c r="T268" s="1" t="s">
        <v>591</v>
      </c>
      <c r="U268" s="4">
        <v>22812.75</v>
      </c>
      <c r="V268" s="1">
        <v>3.8</v>
      </c>
      <c r="W268" s="1">
        <f t="shared" ca="1" si="36"/>
        <v>5</v>
      </c>
      <c r="X268" s="1">
        <v>5.22</v>
      </c>
      <c r="Y268" s="1" t="str">
        <f t="shared" si="37"/>
        <v>Stage II</v>
      </c>
      <c r="Z268" s="10">
        <f t="shared" si="38"/>
        <v>22812.75</v>
      </c>
    </row>
    <row r="269" spans="1:26">
      <c r="A269" s="1" t="s">
        <v>14</v>
      </c>
      <c r="B269" s="1">
        <v>58</v>
      </c>
      <c r="C269" s="1" t="s">
        <v>542</v>
      </c>
      <c r="D269" s="1" t="str">
        <f>PROPER(Table3[[#This Row],[Gender]])</f>
        <v>Male</v>
      </c>
      <c r="E269" s="1" t="s">
        <v>550</v>
      </c>
      <c r="F269" s="1" t="str">
        <f>PROPER(Table3[[#This Row],[Country_Region]])</f>
        <v>Pakistan</v>
      </c>
      <c r="G269" s="1">
        <v>2023</v>
      </c>
      <c r="H269" s="1">
        <v>8.5</v>
      </c>
      <c r="I269" s="1">
        <f>IF(H269="", AVERAGEIF('CLEANED DATASET'!$G$2:$G$532,G269,'CLEANED DATASET'!$H6),H269)</f>
        <v>8.5</v>
      </c>
      <c r="J269" s="1">
        <v>7.9</v>
      </c>
      <c r="K269" s="1">
        <f t="shared" si="33"/>
        <v>7.9</v>
      </c>
      <c r="L269" s="1">
        <v>6.2</v>
      </c>
      <c r="M269" s="1">
        <f t="shared" si="34"/>
        <v>6.2</v>
      </c>
      <c r="N269" s="1">
        <v>0.3</v>
      </c>
      <c r="O269" s="1">
        <f t="shared" si="35"/>
        <v>0.3</v>
      </c>
      <c r="P269" s="1">
        <v>6</v>
      </c>
      <c r="Q269" s="1">
        <f t="shared" si="32"/>
        <v>6</v>
      </c>
      <c r="R269" s="1" t="s">
        <v>574</v>
      </c>
      <c r="S269" s="1" t="str">
        <f>PROPER(Table3[[#This Row],[Cancer_Type]])</f>
        <v>Colon</v>
      </c>
      <c r="T269" s="1" t="s">
        <v>592</v>
      </c>
      <c r="U269" s="4">
        <v>68840.38</v>
      </c>
      <c r="V269" s="1">
        <v>6</v>
      </c>
      <c r="W269" s="1">
        <f t="shared" ca="1" si="36"/>
        <v>6</v>
      </c>
      <c r="X269" s="1">
        <v>5.0999999999999996</v>
      </c>
      <c r="Y269" s="1" t="str">
        <f t="shared" si="37"/>
        <v>Stage II</v>
      </c>
      <c r="Z269" s="10">
        <f t="shared" si="38"/>
        <v>68840.38</v>
      </c>
    </row>
    <row r="270" spans="1:26">
      <c r="A270" s="1" t="s">
        <v>210</v>
      </c>
      <c r="B270" s="1">
        <v>50</v>
      </c>
      <c r="C270" s="1" t="s">
        <v>542</v>
      </c>
      <c r="D270" s="1" t="str">
        <f>PROPER(Table3[[#This Row],[Gender]])</f>
        <v>Male</v>
      </c>
      <c r="E270" s="1" t="s">
        <v>548</v>
      </c>
      <c r="F270" s="1" t="str">
        <f>PROPER(Table3[[#This Row],[Country_Region]])</f>
        <v>Uk</v>
      </c>
      <c r="G270" s="1">
        <v>2023</v>
      </c>
      <c r="H270" s="1">
        <v>7.4</v>
      </c>
      <c r="I270" s="1">
        <f>IF(H270="", AVERAGEIF('CLEANED DATASET'!$G$2:$G$532,G270,'CLEANED DATASET'!$H202),H270)</f>
        <v>7.4</v>
      </c>
      <c r="J270" s="1">
        <v>2.2000000000000002</v>
      </c>
      <c r="K270" s="1">
        <f t="shared" si="33"/>
        <v>2.2000000000000002</v>
      </c>
      <c r="L270" s="1">
        <v>7.1</v>
      </c>
      <c r="M270" s="1">
        <f t="shared" si="34"/>
        <v>7.1</v>
      </c>
      <c r="N270" s="1">
        <v>3.6</v>
      </c>
      <c r="O270" s="1">
        <f t="shared" si="35"/>
        <v>3.6</v>
      </c>
      <c r="P270" s="1">
        <v>3.3</v>
      </c>
      <c r="Q270" s="1">
        <f t="shared" si="32"/>
        <v>3.3</v>
      </c>
      <c r="R270" s="1" t="s">
        <v>573</v>
      </c>
      <c r="S270" s="1" t="str">
        <f>PROPER(Table3[[#This Row],[Cancer_Type]])</f>
        <v>Breast</v>
      </c>
      <c r="T270" s="1" t="s">
        <v>592</v>
      </c>
      <c r="U270" s="4">
        <v>98578.87</v>
      </c>
      <c r="V270" s="1">
        <v>9.6999999999999993</v>
      </c>
      <c r="W270" s="1">
        <f t="shared" ca="1" si="36"/>
        <v>7</v>
      </c>
      <c r="X270" s="1">
        <v>3.95</v>
      </c>
      <c r="Y270" s="1" t="str">
        <f t="shared" si="37"/>
        <v>Stage I</v>
      </c>
      <c r="Z270" s="10">
        <f t="shared" si="38"/>
        <v>98578.87</v>
      </c>
    </row>
    <row r="271" spans="1:26">
      <c r="A271" s="1" t="s">
        <v>481</v>
      </c>
      <c r="B271" s="1">
        <v>34</v>
      </c>
      <c r="C271" s="1" t="s">
        <v>542</v>
      </c>
      <c r="D271" s="1" t="str">
        <f>PROPER(Table3[[#This Row],[Gender]])</f>
        <v>Male</v>
      </c>
      <c r="E271" s="1" t="s">
        <v>556</v>
      </c>
      <c r="F271" s="1" t="str">
        <f>PROPER(Table3[[#This Row],[Country_Region]])</f>
        <v>India</v>
      </c>
      <c r="G271" s="1">
        <v>2023</v>
      </c>
      <c r="H271" s="1">
        <v>0.7</v>
      </c>
      <c r="I271" s="1">
        <f>IF(H271="", AVERAGEIF('CLEANED DATASET'!$G$2:$G$532,G271,'CLEANED DATASET'!$H473),H271)</f>
        <v>0.7</v>
      </c>
      <c r="J271" s="1">
        <v>6.1</v>
      </c>
      <c r="K271" s="1">
        <f t="shared" si="33"/>
        <v>6.1</v>
      </c>
      <c r="L271" s="1">
        <v>7.8</v>
      </c>
      <c r="M271" s="1">
        <f t="shared" si="34"/>
        <v>7.8</v>
      </c>
      <c r="N271" s="1">
        <v>2.6</v>
      </c>
      <c r="O271" s="1">
        <f t="shared" si="35"/>
        <v>2.6</v>
      </c>
      <c r="P271" s="1">
        <v>0.1</v>
      </c>
      <c r="Q271" s="1">
        <f t="shared" si="32"/>
        <v>0.1</v>
      </c>
      <c r="R271" s="1" t="s">
        <v>579</v>
      </c>
      <c r="S271" s="1" t="str">
        <f>PROPER(Table3[[#This Row],[Cancer_Type]])</f>
        <v>Prostate</v>
      </c>
      <c r="T271" s="1" t="s">
        <v>594</v>
      </c>
      <c r="U271" s="4">
        <v>98932.86</v>
      </c>
      <c r="V271" s="1">
        <v>9.5</v>
      </c>
      <c r="W271" s="1">
        <f t="shared" ca="1" si="36"/>
        <v>7</v>
      </c>
      <c r="X271" s="1">
        <v>2.78</v>
      </c>
      <c r="Y271" s="1" t="str">
        <f t="shared" si="37"/>
        <v>Stage I</v>
      </c>
      <c r="Z271" s="10">
        <f t="shared" si="38"/>
        <v>98932.86</v>
      </c>
    </row>
    <row r="272" spans="1:26">
      <c r="A272" s="1" t="s">
        <v>364</v>
      </c>
      <c r="B272" s="1">
        <v>59</v>
      </c>
      <c r="C272" s="1" t="s">
        <v>542</v>
      </c>
      <c r="D272" s="1" t="str">
        <f>PROPER(Table3[[#This Row],[Gender]])</f>
        <v>Male</v>
      </c>
      <c r="E272" s="1" t="s">
        <v>548</v>
      </c>
      <c r="F272" s="1" t="str">
        <f>PROPER(Table3[[#This Row],[Country_Region]])</f>
        <v>Uk</v>
      </c>
      <c r="G272" s="1">
        <v>2024</v>
      </c>
      <c r="H272" s="1">
        <v>3.6</v>
      </c>
      <c r="I272" s="1">
        <f>IF(H272="", AVERAGEIF('CLEANED DATASET'!$G$2:$G$532,G272,'CLEANED DATASET'!$H356),H272)</f>
        <v>3.6</v>
      </c>
      <c r="J272" s="1">
        <v>2.9</v>
      </c>
      <c r="K272" s="1">
        <f t="shared" si="33"/>
        <v>2.9</v>
      </c>
      <c r="L272" s="1">
        <v>3.5</v>
      </c>
      <c r="M272" s="1">
        <f t="shared" si="34"/>
        <v>3.5</v>
      </c>
      <c r="N272" s="1">
        <v>8.9</v>
      </c>
      <c r="O272" s="1">
        <f t="shared" si="35"/>
        <v>8.9</v>
      </c>
      <c r="P272" s="1">
        <v>7.9</v>
      </c>
      <c r="Q272" s="1">
        <f t="shared" si="32"/>
        <v>7.9</v>
      </c>
      <c r="R272" s="1" t="s">
        <v>579</v>
      </c>
      <c r="S272" s="1" t="str">
        <f>PROPER(Table3[[#This Row],[Cancer_Type]])</f>
        <v>Prostate</v>
      </c>
      <c r="T272" s="1" t="s">
        <v>592</v>
      </c>
      <c r="U272" s="4">
        <v>9008.85</v>
      </c>
      <c r="V272" s="1">
        <v>9.1</v>
      </c>
      <c r="W272" s="1">
        <f t="shared" ca="1" si="36"/>
        <v>3</v>
      </c>
      <c r="X272" s="1">
        <v>6.07</v>
      </c>
      <c r="Y272" s="1" t="str">
        <f t="shared" si="37"/>
        <v>Stage III</v>
      </c>
      <c r="Z272" s="10">
        <f t="shared" si="38"/>
        <v>9008.85</v>
      </c>
    </row>
    <row r="273" spans="1:26">
      <c r="A273" s="1" t="s">
        <v>429</v>
      </c>
      <c r="B273" s="1">
        <v>76</v>
      </c>
      <c r="C273" s="1" t="s">
        <v>541</v>
      </c>
      <c r="D273" s="1" t="str">
        <f>PROPER(Table3[[#This Row],[Gender]])</f>
        <v>Other</v>
      </c>
      <c r="E273" s="1" t="s">
        <v>555</v>
      </c>
      <c r="F273" s="1" t="str">
        <f>PROPER(Table3[[#This Row],[Country_Region]])</f>
        <v>Russia</v>
      </c>
      <c r="G273" s="1">
        <v>2023</v>
      </c>
      <c r="H273" s="1">
        <v>6.2</v>
      </c>
      <c r="I273" s="1">
        <f>IF(H273="", AVERAGEIF('CLEANED DATASET'!$G$2:$G$532,G273,'CLEANED DATASET'!$H421),H273)</f>
        <v>6.2</v>
      </c>
      <c r="J273" s="1"/>
      <c r="K273" s="1">
        <f t="shared" si="33"/>
        <v>4.4000000000000004</v>
      </c>
      <c r="L273" s="1">
        <v>0.9</v>
      </c>
      <c r="M273" s="1">
        <f t="shared" si="34"/>
        <v>0.9</v>
      </c>
      <c r="N273" s="1">
        <v>2.2000000000000002</v>
      </c>
      <c r="O273" s="1">
        <f t="shared" si="35"/>
        <v>2.2000000000000002</v>
      </c>
      <c r="P273" s="1">
        <v>2.5</v>
      </c>
      <c r="Q273" s="1">
        <f t="shared" si="32"/>
        <v>2.5</v>
      </c>
      <c r="R273" s="1" t="s">
        <v>572</v>
      </c>
      <c r="S273" s="1" t="str">
        <f>PROPER(Table3[[#This Row],[Cancer_Type]])</f>
        <v>Leukemia</v>
      </c>
      <c r="T273" s="1" t="s">
        <v>591</v>
      </c>
      <c r="U273" s="8">
        <v>95289.45</v>
      </c>
      <c r="V273" s="1">
        <v>8.6</v>
      </c>
      <c r="W273" s="1">
        <f t="shared" ca="1" si="36"/>
        <v>8</v>
      </c>
      <c r="X273" s="1">
        <v>2.19</v>
      </c>
      <c r="Y273" s="1" t="str">
        <f t="shared" si="37"/>
        <v>Stage I</v>
      </c>
      <c r="Z273" s="10">
        <f t="shared" si="38"/>
        <v>95289.45</v>
      </c>
    </row>
    <row r="274" spans="1:26">
      <c r="A274" s="1" t="s">
        <v>63</v>
      </c>
      <c r="B274" s="1">
        <v>84</v>
      </c>
      <c r="C274" s="1" t="s">
        <v>543</v>
      </c>
      <c r="D274" s="1" t="str">
        <f>PROPER(Table3[[#This Row],[Gender]])</f>
        <v>Female</v>
      </c>
      <c r="E274" s="1" t="s">
        <v>550</v>
      </c>
      <c r="F274" s="1" t="str">
        <f>PROPER(Table3[[#This Row],[Country_Region]])</f>
        <v>Pakistan</v>
      </c>
      <c r="G274" s="1">
        <v>2023</v>
      </c>
      <c r="H274" s="1">
        <v>7.7</v>
      </c>
      <c r="I274" s="1">
        <f>IF(H274="", AVERAGEIF('CLEANED DATASET'!$G$2:$G$532,G274,'CLEANED DATASET'!$H55),H274)</f>
        <v>7.7</v>
      </c>
      <c r="J274" s="1">
        <v>8.9</v>
      </c>
      <c r="K274" s="1">
        <f t="shared" si="33"/>
        <v>8.9</v>
      </c>
      <c r="L274" s="1">
        <v>2.2000000000000002</v>
      </c>
      <c r="M274" s="1">
        <f t="shared" si="34"/>
        <v>2.2000000000000002</v>
      </c>
      <c r="N274" s="1">
        <v>7.6</v>
      </c>
      <c r="O274" s="1">
        <f t="shared" si="35"/>
        <v>7.6</v>
      </c>
      <c r="P274" s="1">
        <v>2.5</v>
      </c>
      <c r="Q274" s="1">
        <f t="shared" si="32"/>
        <v>2.5</v>
      </c>
      <c r="R274" s="1" t="s">
        <v>576</v>
      </c>
      <c r="S274" s="1" t="str">
        <f>PROPER(Table3[[#This Row],[Cancer_Type]])</f>
        <v>Cervical</v>
      </c>
      <c r="T274" s="1" t="s">
        <v>591</v>
      </c>
      <c r="U274" s="4">
        <v>34122.74</v>
      </c>
      <c r="V274" s="1">
        <v>1</v>
      </c>
      <c r="W274" s="1">
        <f t="shared" ca="1" si="36"/>
        <v>3</v>
      </c>
      <c r="X274" s="1">
        <v>6.29</v>
      </c>
      <c r="Y274" s="1" t="str">
        <f t="shared" si="37"/>
        <v>Stage III</v>
      </c>
      <c r="Z274" s="10">
        <f t="shared" si="38"/>
        <v>34122.74</v>
      </c>
    </row>
    <row r="275" spans="1:26">
      <c r="A275" s="1" t="s">
        <v>318</v>
      </c>
      <c r="B275" s="1">
        <v>26</v>
      </c>
      <c r="C275" s="1" t="s">
        <v>542</v>
      </c>
      <c r="D275" s="1" t="str">
        <f>PROPER(Table3[[#This Row],[Gender]])</f>
        <v>Male</v>
      </c>
      <c r="E275" s="1" t="s">
        <v>551</v>
      </c>
      <c r="F275" s="1" t="str">
        <f>PROPER(Table3[[#This Row],[Country_Region]])</f>
        <v>Germany</v>
      </c>
      <c r="G275" s="1">
        <v>2023</v>
      </c>
      <c r="H275" s="1">
        <v>6.2</v>
      </c>
      <c r="I275" s="1">
        <f>IF(H275="", AVERAGEIF('CLEANED DATASET'!$G$2:$G$532,G275,'CLEANED DATASET'!$H310),H275)</f>
        <v>6.2</v>
      </c>
      <c r="J275" s="1">
        <v>4.0999999999999996</v>
      </c>
      <c r="K275" s="1">
        <f t="shared" si="33"/>
        <v>4.0999999999999996</v>
      </c>
      <c r="L275" s="1">
        <v>9.8000000000000007</v>
      </c>
      <c r="M275" s="1">
        <f t="shared" si="34"/>
        <v>9.8000000000000007</v>
      </c>
      <c r="N275" s="1">
        <v>8.5</v>
      </c>
      <c r="O275" s="1">
        <f t="shared" si="35"/>
        <v>8.5</v>
      </c>
      <c r="P275" s="1">
        <v>9</v>
      </c>
      <c r="Q275" s="1">
        <f t="shared" si="32"/>
        <v>9</v>
      </c>
      <c r="R275" s="1" t="s">
        <v>579</v>
      </c>
      <c r="S275" s="1" t="str">
        <f>PROPER(Table3[[#This Row],[Cancer_Type]])</f>
        <v>Prostate</v>
      </c>
      <c r="T275" s="1" t="s">
        <v>590</v>
      </c>
      <c r="U275" s="4">
        <v>87997.56</v>
      </c>
      <c r="V275" s="1">
        <v>5.4</v>
      </c>
      <c r="W275" s="1">
        <f t="shared" ca="1" si="36"/>
        <v>3</v>
      </c>
      <c r="X275" s="1">
        <v>6.17</v>
      </c>
      <c r="Y275" s="1" t="str">
        <f t="shared" si="37"/>
        <v>Stage III</v>
      </c>
      <c r="Z275" s="10">
        <f t="shared" si="38"/>
        <v>87997.56</v>
      </c>
    </row>
    <row r="276" spans="1:26">
      <c r="A276" s="1" t="s">
        <v>434</v>
      </c>
      <c r="B276" s="1">
        <v>49</v>
      </c>
      <c r="C276" s="1" t="s">
        <v>543</v>
      </c>
      <c r="D276" s="1" t="str">
        <f>PROPER(Table3[[#This Row],[Gender]])</f>
        <v>Female</v>
      </c>
      <c r="E276" s="1" t="s">
        <v>554</v>
      </c>
      <c r="F276" s="1" t="str">
        <f>PROPER(Table3[[#This Row],[Country_Region]])</f>
        <v>Brazil</v>
      </c>
      <c r="G276" s="1">
        <v>2022</v>
      </c>
      <c r="H276" s="1">
        <v>3.6</v>
      </c>
      <c r="I276" s="1">
        <f>IF(H276="", AVERAGEIF('CLEANED DATASET'!$G$2:$G$532,G276,'CLEANED DATASET'!$H426),H276)</f>
        <v>3.6</v>
      </c>
      <c r="J276" s="1">
        <v>5.3</v>
      </c>
      <c r="K276" s="1">
        <f t="shared" si="33"/>
        <v>5.3</v>
      </c>
      <c r="L276" s="1">
        <v>1</v>
      </c>
      <c r="M276" s="1">
        <f t="shared" si="34"/>
        <v>1</v>
      </c>
      <c r="N276" s="1">
        <v>9.1</v>
      </c>
      <c r="O276" s="1">
        <f t="shared" si="35"/>
        <v>9.1</v>
      </c>
      <c r="P276" s="1">
        <v>6.7</v>
      </c>
      <c r="Q276" s="1">
        <f t="shared" si="32"/>
        <v>6.7</v>
      </c>
      <c r="R276" s="1" t="s">
        <v>573</v>
      </c>
      <c r="S276" s="1" t="str">
        <f>PROPER(Table3[[#This Row],[Cancer_Type]])</f>
        <v>Breast</v>
      </c>
      <c r="T276" s="1" t="s">
        <v>592</v>
      </c>
      <c r="U276" s="4"/>
      <c r="V276" s="1">
        <f>ROUND(10-((I276+K276+M276+O276+Q276)/5),1)</f>
        <v>4.9000000000000004</v>
      </c>
      <c r="W276" s="1">
        <f t="shared" ca="1" si="36"/>
        <v>6</v>
      </c>
      <c r="X276" s="1">
        <v>4.5999999999999996</v>
      </c>
      <c r="Y276" s="1" t="str">
        <f t="shared" si="37"/>
        <v>Stage II</v>
      </c>
      <c r="Z276" s="10">
        <f t="shared" si="38"/>
        <v>52073.65</v>
      </c>
    </row>
    <row r="277" spans="1:26">
      <c r="A277" s="1" t="s">
        <v>211</v>
      </c>
      <c r="B277" s="1">
        <v>51</v>
      </c>
      <c r="C277" s="1" t="s">
        <v>541</v>
      </c>
      <c r="D277" s="1" t="str">
        <f>PROPER(Table3[[#This Row],[Gender]])</f>
        <v>Other</v>
      </c>
      <c r="E277" s="1" t="s">
        <v>556</v>
      </c>
      <c r="F277" s="1" t="str">
        <f>PROPER(Table3[[#This Row],[Country_Region]])</f>
        <v>India</v>
      </c>
      <c r="G277" s="1">
        <v>2022</v>
      </c>
      <c r="H277" s="1">
        <v>8.1</v>
      </c>
      <c r="I277" s="1">
        <f>IF(H277="", AVERAGEIF('CLEANED DATASET'!$G$2:$G$532,G277,'CLEANED DATASET'!$H203),H277)</f>
        <v>8.1</v>
      </c>
      <c r="J277" s="1">
        <v>1</v>
      </c>
      <c r="K277" s="1">
        <f t="shared" si="33"/>
        <v>1</v>
      </c>
      <c r="L277" s="1">
        <v>1.1000000000000001</v>
      </c>
      <c r="M277" s="1">
        <f t="shared" si="34"/>
        <v>1.1000000000000001</v>
      </c>
      <c r="N277" s="1">
        <v>8.8000000000000007</v>
      </c>
      <c r="O277" s="1">
        <f t="shared" si="35"/>
        <v>8.8000000000000007</v>
      </c>
      <c r="P277" s="1">
        <v>0.7</v>
      </c>
      <c r="Q277" s="1">
        <f t="shared" si="32"/>
        <v>0.7</v>
      </c>
      <c r="R277" s="1" t="s">
        <v>572</v>
      </c>
      <c r="S277" s="1" t="str">
        <f>PROPER(Table3[[#This Row],[Cancer_Type]])</f>
        <v>Leukemia</v>
      </c>
      <c r="T277" s="1" t="s">
        <v>590</v>
      </c>
      <c r="U277" s="4">
        <v>21961.19</v>
      </c>
      <c r="V277" s="1">
        <v>5.7</v>
      </c>
      <c r="W277" s="1">
        <f t="shared" ca="1" si="36"/>
        <v>6</v>
      </c>
      <c r="X277" s="1">
        <v>5.33</v>
      </c>
      <c r="Y277" s="1" t="str">
        <f t="shared" si="37"/>
        <v>Stage II</v>
      </c>
      <c r="Z277" s="10">
        <f t="shared" si="38"/>
        <v>21961.19</v>
      </c>
    </row>
    <row r="278" spans="1:26">
      <c r="A278" s="1" t="s">
        <v>132</v>
      </c>
      <c r="B278" s="1">
        <v>63</v>
      </c>
      <c r="C278" s="1" t="s">
        <v>543</v>
      </c>
      <c r="D278" s="1" t="str">
        <f>PROPER(Table3[[#This Row],[Gender]])</f>
        <v>Female</v>
      </c>
      <c r="E278" s="1" t="s">
        <v>559</v>
      </c>
      <c r="F278" s="1" t="str">
        <f>PROPER(Table3[[#This Row],[Country_Region]])</f>
        <v>Russia</v>
      </c>
      <c r="G278" s="1">
        <v>2022</v>
      </c>
      <c r="H278" s="1">
        <v>6</v>
      </c>
      <c r="I278" s="1">
        <f>IF(H278="", AVERAGEIF('CLEANED DATASET'!$G$2:$G$532,G278,'CLEANED DATASET'!$H124),H278)</f>
        <v>6</v>
      </c>
      <c r="J278" s="1">
        <v>1.9</v>
      </c>
      <c r="K278" s="1">
        <f t="shared" si="33"/>
        <v>1.9</v>
      </c>
      <c r="L278" s="1">
        <v>1.1000000000000001</v>
      </c>
      <c r="M278" s="1">
        <f t="shared" si="34"/>
        <v>1.1000000000000001</v>
      </c>
      <c r="N278" s="1">
        <v>2.4</v>
      </c>
      <c r="O278" s="1">
        <f t="shared" si="35"/>
        <v>2.4</v>
      </c>
      <c r="P278" s="1">
        <v>5.9</v>
      </c>
      <c r="Q278" s="1">
        <f t="shared" si="32"/>
        <v>5.9</v>
      </c>
      <c r="R278" s="1" t="s">
        <v>576</v>
      </c>
      <c r="S278" s="1" t="str">
        <f>PROPER(Table3[[#This Row],[Cancer_Type]])</f>
        <v>Cervical</v>
      </c>
      <c r="T278" s="1" t="s">
        <v>594</v>
      </c>
      <c r="U278" s="4">
        <v>9353.94</v>
      </c>
      <c r="V278" s="1">
        <v>2.7</v>
      </c>
      <c r="W278" s="1">
        <f t="shared" ca="1" si="36"/>
        <v>5</v>
      </c>
      <c r="X278" s="1">
        <v>4.53</v>
      </c>
      <c r="Y278" s="1" t="str">
        <f t="shared" si="37"/>
        <v>Stage II</v>
      </c>
      <c r="Z278" s="10">
        <f t="shared" si="38"/>
        <v>9353.94</v>
      </c>
    </row>
    <row r="279" spans="1:26">
      <c r="A279" s="1" t="s">
        <v>402</v>
      </c>
      <c r="B279" s="1">
        <v>20</v>
      </c>
      <c r="C279" s="1" t="s">
        <v>543</v>
      </c>
      <c r="D279" s="1" t="str">
        <f>PROPER(Table3[[#This Row],[Gender]])</f>
        <v>Female</v>
      </c>
      <c r="E279" s="1" t="s">
        <v>548</v>
      </c>
      <c r="F279" s="1" t="str">
        <f>PROPER(Table3[[#This Row],[Country_Region]])</f>
        <v>Uk</v>
      </c>
      <c r="G279" s="1">
        <v>2023</v>
      </c>
      <c r="H279" s="1">
        <v>8.5</v>
      </c>
      <c r="I279" s="1">
        <f>IF(H279="", AVERAGEIF('CLEANED DATASET'!$G$2:$G$532,G279,'CLEANED DATASET'!$H394),H279)</f>
        <v>8.5</v>
      </c>
      <c r="J279" s="1">
        <v>0</v>
      </c>
      <c r="K279" s="1">
        <f t="shared" si="33"/>
        <v>0</v>
      </c>
      <c r="L279" s="1">
        <v>9.6999999999999993</v>
      </c>
      <c r="M279" s="1">
        <f t="shared" si="34"/>
        <v>9.6999999999999993</v>
      </c>
      <c r="N279" s="1">
        <v>1</v>
      </c>
      <c r="O279" s="1">
        <f t="shared" si="35"/>
        <v>1</v>
      </c>
      <c r="P279" s="1">
        <v>9.9</v>
      </c>
      <c r="Q279" s="1">
        <f t="shared" si="32"/>
        <v>9.9</v>
      </c>
      <c r="R279" s="1" t="s">
        <v>570</v>
      </c>
      <c r="S279" s="1" t="str">
        <f>PROPER(Table3[[#This Row],[Cancer_Type]])</f>
        <v>Skin</v>
      </c>
      <c r="T279" s="1" t="s">
        <v>592</v>
      </c>
      <c r="U279" s="4">
        <v>9983.8700000000008</v>
      </c>
      <c r="V279" s="1">
        <v>8.6</v>
      </c>
      <c r="W279" s="1">
        <f t="shared" ca="1" si="36"/>
        <v>4</v>
      </c>
      <c r="X279" s="1">
        <v>6.15</v>
      </c>
      <c r="Y279" s="1" t="str">
        <f t="shared" si="37"/>
        <v>Stage III</v>
      </c>
      <c r="Z279" s="10">
        <f t="shared" si="38"/>
        <v>9983.8700000000008</v>
      </c>
    </row>
    <row r="280" spans="1:26">
      <c r="A280" s="1" t="s">
        <v>16</v>
      </c>
      <c r="B280" s="1">
        <v>46</v>
      </c>
      <c r="C280" s="1" t="s">
        <v>542</v>
      </c>
      <c r="D280" s="1" t="str">
        <f>PROPER(Table3[[#This Row],[Gender]])</f>
        <v>Male</v>
      </c>
      <c r="E280" s="1" t="s">
        <v>551</v>
      </c>
      <c r="F280" s="1" t="str">
        <f>PROPER(Table3[[#This Row],[Country_Region]])</f>
        <v>Germany</v>
      </c>
      <c r="G280" s="1">
        <v>2024</v>
      </c>
      <c r="H280" s="1">
        <v>5.7</v>
      </c>
      <c r="I280" s="1">
        <f>IF(H280="", AVERAGEIF('CLEANED DATASET'!$G$2:$G$532,G280,'CLEANED DATASET'!$H8),H280)</f>
        <v>5.7</v>
      </c>
      <c r="J280" s="1">
        <v>9.4</v>
      </c>
      <c r="K280" s="1">
        <f t="shared" si="33"/>
        <v>9.4</v>
      </c>
      <c r="L280" s="1">
        <v>5.6</v>
      </c>
      <c r="M280" s="1">
        <f t="shared" si="34"/>
        <v>5.6</v>
      </c>
      <c r="N280" s="1">
        <v>5.3</v>
      </c>
      <c r="O280" s="1">
        <f t="shared" si="35"/>
        <v>5.3</v>
      </c>
      <c r="P280" s="1">
        <v>2.2000000000000002</v>
      </c>
      <c r="Q280" s="1">
        <f t="shared" si="32"/>
        <v>2.2000000000000002</v>
      </c>
      <c r="R280" s="1" t="s">
        <v>575</v>
      </c>
      <c r="S280" s="1" t="str">
        <f>PROPER(Table3[[#This Row],[Cancer_Type]])</f>
        <v>Breast</v>
      </c>
      <c r="T280" s="1" t="s">
        <v>592</v>
      </c>
      <c r="U280" s="4">
        <v>6941.2</v>
      </c>
      <c r="V280" s="1">
        <v>7</v>
      </c>
      <c r="W280" s="1">
        <f t="shared" ca="1" si="36"/>
        <v>4</v>
      </c>
      <c r="X280" s="1">
        <v>6.53</v>
      </c>
      <c r="Y280" s="1" t="str">
        <f t="shared" si="37"/>
        <v>Stage III</v>
      </c>
      <c r="Z280" s="9">
        <f t="shared" si="38"/>
        <v>6941.2</v>
      </c>
    </row>
    <row r="281" spans="1:26">
      <c r="A281" s="1" t="s">
        <v>480</v>
      </c>
      <c r="B281" s="1">
        <v>42</v>
      </c>
      <c r="C281" s="1" t="s">
        <v>543</v>
      </c>
      <c r="D281" s="1" t="str">
        <f>PROPER(Table3[[#This Row],[Gender]])</f>
        <v>Female</v>
      </c>
      <c r="E281" s="1" t="s">
        <v>551</v>
      </c>
      <c r="F281" s="1" t="str">
        <f>PROPER(Table3[[#This Row],[Country_Region]])</f>
        <v>Germany</v>
      </c>
      <c r="G281" s="1">
        <v>2023</v>
      </c>
      <c r="H281" s="1">
        <v>4.7</v>
      </c>
      <c r="I281" s="1">
        <f>IF(H281="", AVERAGEIF('CLEANED DATASET'!$G$2:$G$532,G281,'CLEANED DATASET'!$H472),H281)</f>
        <v>4.7</v>
      </c>
      <c r="J281" s="1">
        <v>1.4</v>
      </c>
      <c r="K281" s="1">
        <f t="shared" si="33"/>
        <v>1.4</v>
      </c>
      <c r="L281" s="1">
        <v>4.2</v>
      </c>
      <c r="M281" s="1">
        <f t="shared" si="34"/>
        <v>4.2</v>
      </c>
      <c r="N281" s="1">
        <v>5.5</v>
      </c>
      <c r="O281" s="1">
        <f t="shared" si="35"/>
        <v>5.5</v>
      </c>
      <c r="P281" s="1">
        <v>5.8</v>
      </c>
      <c r="Q281" s="1">
        <f t="shared" si="32"/>
        <v>5.8</v>
      </c>
      <c r="R281" s="1" t="s">
        <v>574</v>
      </c>
      <c r="S281" s="1" t="str">
        <f>PROPER(Table3[[#This Row],[Cancer_Type]])</f>
        <v>Colon</v>
      </c>
      <c r="T281" s="1" t="s">
        <v>594</v>
      </c>
      <c r="U281" s="4">
        <v>30469.78</v>
      </c>
      <c r="V281" s="1">
        <v>1.8</v>
      </c>
      <c r="W281" s="1">
        <f t="shared" ca="1" si="36"/>
        <v>6</v>
      </c>
      <c r="X281" s="1">
        <v>4.8499999999999996</v>
      </c>
      <c r="Y281" s="1" t="str">
        <f t="shared" si="37"/>
        <v>Stage II</v>
      </c>
      <c r="Z281" s="10">
        <f t="shared" si="38"/>
        <v>30469.78</v>
      </c>
    </row>
    <row r="282" spans="1:26">
      <c r="A282" s="1" t="s">
        <v>368</v>
      </c>
      <c r="B282" s="1">
        <v>47</v>
      </c>
      <c r="C282" s="1" t="s">
        <v>542</v>
      </c>
      <c r="D282" s="1" t="str">
        <f>PROPER(Table3[[#This Row],[Gender]])</f>
        <v>Male</v>
      </c>
      <c r="E282" s="1" t="s">
        <v>552</v>
      </c>
      <c r="F282" s="1" t="str">
        <f>PROPER(Table3[[#This Row],[Country_Region]])</f>
        <v>China</v>
      </c>
      <c r="G282" s="1">
        <v>2024</v>
      </c>
      <c r="H282" s="1">
        <v>8.1999999999999993</v>
      </c>
      <c r="I282" s="1">
        <f>IF(H282="", AVERAGEIF('CLEANED DATASET'!$G$2:$G$532,G282,'CLEANED DATASET'!$H360),H282)</f>
        <v>8.1999999999999993</v>
      </c>
      <c r="J282" s="1">
        <v>5.0999999999999996</v>
      </c>
      <c r="K282" s="1">
        <f t="shared" si="33"/>
        <v>5.0999999999999996</v>
      </c>
      <c r="L282" s="1">
        <v>0.4</v>
      </c>
      <c r="M282" s="1">
        <f t="shared" si="34"/>
        <v>0.4</v>
      </c>
      <c r="N282" s="1">
        <v>9.6</v>
      </c>
      <c r="O282" s="1">
        <f t="shared" si="35"/>
        <v>9.6</v>
      </c>
      <c r="P282" s="1">
        <v>0.6</v>
      </c>
      <c r="Q282" s="1">
        <f t="shared" si="32"/>
        <v>0.6</v>
      </c>
      <c r="R282" s="1" t="s">
        <v>570</v>
      </c>
      <c r="S282" s="1" t="str">
        <f>PROPER(Table3[[#This Row],[Cancer_Type]])</f>
        <v>Skin</v>
      </c>
      <c r="T282" s="1" t="s">
        <v>590</v>
      </c>
      <c r="U282" s="4">
        <v>32570.91</v>
      </c>
      <c r="V282" s="1">
        <v>4.0999999999999996</v>
      </c>
      <c r="W282" s="1">
        <f t="shared" ca="1" si="36"/>
        <v>5</v>
      </c>
      <c r="X282" s="1">
        <v>5.79</v>
      </c>
      <c r="Y282" s="1" t="str">
        <f t="shared" si="37"/>
        <v>Stage II</v>
      </c>
      <c r="Z282" s="10">
        <f t="shared" si="38"/>
        <v>32570.91</v>
      </c>
    </row>
    <row r="283" spans="1:26">
      <c r="A283" s="1" t="s">
        <v>523</v>
      </c>
      <c r="B283" s="1">
        <v>50</v>
      </c>
      <c r="C283" s="1" t="s">
        <v>541</v>
      </c>
      <c r="D283" s="1" t="str">
        <f>PROPER(Table3[[#This Row],[Gender]])</f>
        <v>Other</v>
      </c>
      <c r="E283" s="1" t="s">
        <v>560</v>
      </c>
      <c r="F283" s="1" t="str">
        <f>PROPER(Table3[[#This Row],[Country_Region]])</f>
        <v>Usa</v>
      </c>
      <c r="G283" s="1">
        <v>2023</v>
      </c>
      <c r="H283" s="1">
        <v>9.9</v>
      </c>
      <c r="I283" s="1">
        <f>IF(H283="", AVERAGEIF('CLEANED DATASET'!$G$2:$G$532,G283,'CLEANED DATASET'!$H515),H283)</f>
        <v>9.9</v>
      </c>
      <c r="J283" s="1"/>
      <c r="K283" s="1">
        <f t="shared" si="33"/>
        <v>4.5</v>
      </c>
      <c r="L283" s="1">
        <v>3.9</v>
      </c>
      <c r="M283" s="1">
        <f t="shared" si="34"/>
        <v>3.9</v>
      </c>
      <c r="N283" s="1">
        <v>0.9</v>
      </c>
      <c r="O283" s="1">
        <f t="shared" si="35"/>
        <v>0.9</v>
      </c>
      <c r="P283" s="1">
        <v>0.9</v>
      </c>
      <c r="Q283" s="1">
        <f t="shared" si="32"/>
        <v>0.9</v>
      </c>
      <c r="R283" s="1" t="s">
        <v>570</v>
      </c>
      <c r="S283" s="1" t="str">
        <f>PROPER(Table3[[#This Row],[Cancer_Type]])</f>
        <v>Skin</v>
      </c>
      <c r="T283" s="1" t="s">
        <v>592</v>
      </c>
      <c r="U283" s="4">
        <v>24985.23</v>
      </c>
      <c r="V283" s="1">
        <v>9.1999999999999993</v>
      </c>
      <c r="W283" s="1">
        <f t="shared" ca="1" si="36"/>
        <v>6</v>
      </c>
      <c r="X283" s="1">
        <v>5.15</v>
      </c>
      <c r="Y283" s="1" t="str">
        <f t="shared" si="37"/>
        <v>Stage II</v>
      </c>
      <c r="Z283" s="10">
        <f t="shared" si="38"/>
        <v>24985.23</v>
      </c>
    </row>
    <row r="284" spans="1:26">
      <c r="A284" s="1" t="s">
        <v>300</v>
      </c>
      <c r="B284" s="1">
        <v>65</v>
      </c>
      <c r="C284" s="1" t="s">
        <v>541</v>
      </c>
      <c r="D284" s="1" t="str">
        <f>PROPER(Table3[[#This Row],[Gender]])</f>
        <v>Other</v>
      </c>
      <c r="E284" s="1" t="s">
        <v>552</v>
      </c>
      <c r="F284" s="1" t="str">
        <f>PROPER(Table3[[#This Row],[Country_Region]])</f>
        <v>China</v>
      </c>
      <c r="G284" s="1">
        <v>2022</v>
      </c>
      <c r="H284" s="1">
        <v>3.9</v>
      </c>
      <c r="I284" s="1">
        <f>IF(H284="", AVERAGEIF('CLEANED DATASET'!$G$2:$G$532,G284,'CLEANED DATASET'!$H292),H284)</f>
        <v>3.9</v>
      </c>
      <c r="J284" s="1">
        <v>4.7</v>
      </c>
      <c r="K284" s="1">
        <f t="shared" si="33"/>
        <v>4.7</v>
      </c>
      <c r="L284" s="1">
        <v>3.3</v>
      </c>
      <c r="M284" s="1">
        <f t="shared" si="34"/>
        <v>3.3</v>
      </c>
      <c r="N284" s="1">
        <v>8.5</v>
      </c>
      <c r="O284" s="1">
        <f t="shared" si="35"/>
        <v>8.5</v>
      </c>
      <c r="P284" s="1">
        <v>8.3000000000000007</v>
      </c>
      <c r="Q284" s="1">
        <f t="shared" si="32"/>
        <v>8.3000000000000007</v>
      </c>
      <c r="R284" s="1" t="s">
        <v>576</v>
      </c>
      <c r="S284" s="1" t="str">
        <f>PROPER(Table3[[#This Row],[Cancer_Type]])</f>
        <v>Cervical</v>
      </c>
      <c r="T284" s="1" t="s">
        <v>593</v>
      </c>
      <c r="U284" s="4">
        <v>59824.33</v>
      </c>
      <c r="V284" s="1">
        <v>5.6</v>
      </c>
      <c r="W284" s="1">
        <f t="shared" ca="1" si="36"/>
        <v>6</v>
      </c>
      <c r="X284" s="1">
        <v>5.31</v>
      </c>
      <c r="Y284" s="1" t="str">
        <f t="shared" si="37"/>
        <v>Stage II</v>
      </c>
      <c r="Z284" s="10">
        <f t="shared" si="38"/>
        <v>59824.33</v>
      </c>
    </row>
    <row r="285" spans="1:26">
      <c r="A285" s="1" t="s">
        <v>162</v>
      </c>
      <c r="B285" s="1">
        <v>87</v>
      </c>
      <c r="C285" s="1" t="s">
        <v>541</v>
      </c>
      <c r="D285" s="1" t="str">
        <f>PROPER(Table3[[#This Row],[Gender]])</f>
        <v>Other</v>
      </c>
      <c r="E285" s="1" t="s">
        <v>556</v>
      </c>
      <c r="F285" s="1" t="str">
        <f>PROPER(Table3[[#This Row],[Country_Region]])</f>
        <v>India</v>
      </c>
      <c r="G285" s="1">
        <v>2023</v>
      </c>
      <c r="H285" s="1">
        <v>3.7</v>
      </c>
      <c r="I285" s="1">
        <f>IF(H285="", AVERAGEIF('CLEANED DATASET'!$G$2:$G$532,G285,'CLEANED DATASET'!$H154),H285)</f>
        <v>3.7</v>
      </c>
      <c r="J285" s="1">
        <v>3.8</v>
      </c>
      <c r="K285" s="1">
        <f t="shared" si="33"/>
        <v>3.8</v>
      </c>
      <c r="L285" s="1">
        <v>7.2</v>
      </c>
      <c r="M285" s="1">
        <f t="shared" si="34"/>
        <v>7.2</v>
      </c>
      <c r="N285" s="1">
        <v>8.9</v>
      </c>
      <c r="O285" s="1">
        <f t="shared" si="35"/>
        <v>8.9</v>
      </c>
      <c r="P285" s="1">
        <v>5.0999999999999996</v>
      </c>
      <c r="Q285" s="1">
        <f t="shared" si="32"/>
        <v>5.0999999999999996</v>
      </c>
      <c r="R285" s="1" t="s">
        <v>576</v>
      </c>
      <c r="S285" s="1" t="str">
        <f>PROPER(Table3[[#This Row],[Cancer_Type]])</f>
        <v>Cervical</v>
      </c>
      <c r="T285" s="1"/>
      <c r="U285" s="4">
        <v>46627</v>
      </c>
      <c r="V285" s="1">
        <f>ROUND(10-((I285+K285+M285+O285+Q285)/5),1)</f>
        <v>4.3</v>
      </c>
      <c r="W285" s="1">
        <f t="shared" ca="1" si="36"/>
        <v>6</v>
      </c>
      <c r="X285" s="1">
        <v>5.75</v>
      </c>
      <c r="Y285" s="1" t="str">
        <f t="shared" si="37"/>
        <v>Stage II</v>
      </c>
      <c r="Z285" s="10">
        <f t="shared" si="38"/>
        <v>46627</v>
      </c>
    </row>
    <row r="286" spans="1:26">
      <c r="A286" s="1" t="s">
        <v>127</v>
      </c>
      <c r="B286" s="1">
        <v>54</v>
      </c>
      <c r="C286" s="1" t="s">
        <v>541</v>
      </c>
      <c r="D286" s="1" t="str">
        <f>PROPER(Table3[[#This Row],[Gender]])</f>
        <v>Other</v>
      </c>
      <c r="E286" s="1" t="s">
        <v>637</v>
      </c>
      <c r="F286" s="1" t="str">
        <f>PROPER(Table3[[#This Row],[Country_Region]])</f>
        <v>India</v>
      </c>
      <c r="G286" s="1">
        <v>2022</v>
      </c>
      <c r="H286" s="1">
        <v>9</v>
      </c>
      <c r="I286" s="1">
        <f>IF(H286="", AVERAGEIF('CLEANED DATASET'!$G$2:$G$532,G286,'CLEANED DATASET'!$H119),H286)</f>
        <v>9</v>
      </c>
      <c r="J286" s="1">
        <v>2.5</v>
      </c>
      <c r="K286" s="1">
        <f t="shared" si="33"/>
        <v>2.5</v>
      </c>
      <c r="L286" s="1">
        <v>1.1000000000000001</v>
      </c>
      <c r="M286" s="1">
        <f t="shared" si="34"/>
        <v>1.1000000000000001</v>
      </c>
      <c r="N286" s="1">
        <v>5.5</v>
      </c>
      <c r="O286" s="1">
        <f t="shared" si="35"/>
        <v>5.5</v>
      </c>
      <c r="P286" s="1">
        <v>0.6</v>
      </c>
      <c r="Q286" s="1">
        <f t="shared" si="32"/>
        <v>0.6</v>
      </c>
      <c r="R286" s="1" t="s">
        <v>570</v>
      </c>
      <c r="S286" s="1" t="str">
        <f>PROPER(Table3[[#This Row],[Cancer_Type]])</f>
        <v>Skin</v>
      </c>
      <c r="T286" s="1" t="s">
        <v>594</v>
      </c>
      <c r="U286" s="4">
        <v>28222.73</v>
      </c>
      <c r="V286" s="1">
        <v>6.2</v>
      </c>
      <c r="W286" s="1">
        <f t="shared" ca="1" si="36"/>
        <v>6</v>
      </c>
      <c r="X286" s="1">
        <v>4.9400000000000004</v>
      </c>
      <c r="Y286" s="1" t="str">
        <f t="shared" si="37"/>
        <v>Stage II</v>
      </c>
      <c r="Z286" s="10">
        <f t="shared" si="38"/>
        <v>28222.73</v>
      </c>
    </row>
    <row r="287" spans="1:26">
      <c r="A287" s="1" t="s">
        <v>352</v>
      </c>
      <c r="B287" s="1">
        <v>67</v>
      </c>
      <c r="C287" s="1" t="s">
        <v>542</v>
      </c>
      <c r="D287" s="1" t="str">
        <f>PROPER(Table3[[#This Row],[Gender]])</f>
        <v>Male</v>
      </c>
      <c r="E287" s="1" t="s">
        <v>551</v>
      </c>
      <c r="F287" s="1" t="str">
        <f>PROPER(Table3[[#This Row],[Country_Region]])</f>
        <v>Germany</v>
      </c>
      <c r="G287" s="1">
        <v>2023</v>
      </c>
      <c r="H287" s="1">
        <v>1</v>
      </c>
      <c r="I287" s="1">
        <f>IF(H287="", AVERAGEIF('CLEANED DATASET'!$G$2:$G$532,G287,'CLEANED DATASET'!$H344),H287)</f>
        <v>1</v>
      </c>
      <c r="J287" s="1">
        <v>4.9000000000000004</v>
      </c>
      <c r="K287" s="1">
        <f t="shared" si="33"/>
        <v>4.9000000000000004</v>
      </c>
      <c r="L287" s="1">
        <v>8.6</v>
      </c>
      <c r="M287" s="1">
        <f t="shared" si="34"/>
        <v>8.6</v>
      </c>
      <c r="N287" s="1">
        <v>0.1</v>
      </c>
      <c r="O287" s="1">
        <f t="shared" si="35"/>
        <v>0.1</v>
      </c>
      <c r="P287" s="1">
        <v>5.4</v>
      </c>
      <c r="Q287" s="1">
        <f t="shared" si="32"/>
        <v>5.4</v>
      </c>
      <c r="R287" s="1" t="s">
        <v>571</v>
      </c>
      <c r="S287" s="1" t="str">
        <f>PROPER(Table3[[#This Row],[Cancer_Type]])</f>
        <v>Lung</v>
      </c>
      <c r="T287" s="1" t="s">
        <v>594</v>
      </c>
      <c r="U287" s="4">
        <v>62640.07</v>
      </c>
      <c r="V287" s="1">
        <v>7.3</v>
      </c>
      <c r="W287" s="1">
        <f t="shared" ca="1" si="36"/>
        <v>7</v>
      </c>
      <c r="X287" s="1">
        <v>3.53</v>
      </c>
      <c r="Y287" s="1" t="str">
        <f t="shared" si="37"/>
        <v>Stage I</v>
      </c>
      <c r="Z287" s="10">
        <f t="shared" si="38"/>
        <v>62640.07</v>
      </c>
    </row>
    <row r="288" spans="1:26">
      <c r="A288" s="1" t="s">
        <v>535</v>
      </c>
      <c r="B288" s="1">
        <v>41</v>
      </c>
      <c r="C288" s="1" t="s">
        <v>542</v>
      </c>
      <c r="D288" s="1" t="str">
        <f>PROPER(Table3[[#This Row],[Gender]])</f>
        <v>Male</v>
      </c>
      <c r="E288" s="1" t="s">
        <v>553</v>
      </c>
      <c r="F288" s="1" t="str">
        <f>PROPER(Table3[[#This Row],[Country_Region]])</f>
        <v>Canada</v>
      </c>
      <c r="G288" s="1">
        <v>2022</v>
      </c>
      <c r="H288" s="1">
        <v>3.9</v>
      </c>
      <c r="I288" s="1">
        <f>IF(H288="", AVERAGEIF('CLEANED DATASET'!$G$2:$G$532,G288,'CLEANED DATASET'!$H527),H288)</f>
        <v>3.9</v>
      </c>
      <c r="J288" s="1">
        <v>5.7</v>
      </c>
      <c r="K288" s="1">
        <f t="shared" si="33"/>
        <v>5.7</v>
      </c>
      <c r="L288" s="1">
        <v>5.6</v>
      </c>
      <c r="M288" s="1">
        <f t="shared" si="34"/>
        <v>5.6</v>
      </c>
      <c r="N288" s="1">
        <v>6.7</v>
      </c>
      <c r="O288" s="1">
        <f t="shared" si="35"/>
        <v>6.7</v>
      </c>
      <c r="P288" s="1">
        <v>5.9</v>
      </c>
      <c r="Q288" s="1">
        <f t="shared" si="32"/>
        <v>5.9</v>
      </c>
      <c r="R288" s="1" t="s">
        <v>579</v>
      </c>
      <c r="S288" s="1" t="str">
        <f>PROPER(Table3[[#This Row],[Cancer_Type]])</f>
        <v>Prostate</v>
      </c>
      <c r="T288" s="1" t="s">
        <v>591</v>
      </c>
      <c r="U288" s="8">
        <v>91406.47</v>
      </c>
      <c r="V288" s="1">
        <v>3.9</v>
      </c>
      <c r="W288" s="1">
        <f t="shared" ca="1" si="36"/>
        <v>6</v>
      </c>
      <c r="X288" s="1">
        <v>4.58</v>
      </c>
      <c r="Y288" s="1" t="str">
        <f t="shared" si="37"/>
        <v>Stage II</v>
      </c>
      <c r="Z288" s="10">
        <f t="shared" si="38"/>
        <v>91406.47</v>
      </c>
    </row>
    <row r="289" spans="1:26">
      <c r="A289" s="1" t="s">
        <v>312</v>
      </c>
      <c r="B289" s="1">
        <v>69</v>
      </c>
      <c r="C289" s="1" t="s">
        <v>543</v>
      </c>
      <c r="D289" s="1" t="str">
        <f>PROPER(Table3[[#This Row],[Gender]])</f>
        <v>Female</v>
      </c>
      <c r="E289" s="1" t="s">
        <v>549</v>
      </c>
      <c r="F289" s="1" t="str">
        <f>PROPER(Table3[[#This Row],[Country_Region]])</f>
        <v>Australia</v>
      </c>
      <c r="G289" s="1">
        <v>2023</v>
      </c>
      <c r="H289" s="1">
        <v>4.4000000000000004</v>
      </c>
      <c r="I289" s="1">
        <f>IF(H289="", AVERAGEIF('CLEANED DATASET'!$G$2:$G$532,G289,'CLEANED DATASET'!$H304),H289)</f>
        <v>4.4000000000000004</v>
      </c>
      <c r="J289" s="1">
        <v>0.1</v>
      </c>
      <c r="K289" s="1">
        <f t="shared" si="33"/>
        <v>0.1</v>
      </c>
      <c r="L289" s="1">
        <v>7.7</v>
      </c>
      <c r="M289" s="1">
        <f t="shared" si="34"/>
        <v>7.7</v>
      </c>
      <c r="N289" s="1">
        <v>8.5</v>
      </c>
      <c r="O289" s="1">
        <f t="shared" si="35"/>
        <v>8.5</v>
      </c>
      <c r="P289" s="1">
        <v>5.9</v>
      </c>
      <c r="Q289" s="1">
        <f t="shared" ref="Q289:Q352" si="39">IF(P289="",AVERAGEIF(G289:G819,G289,P289:P819),P289)</f>
        <v>5.9</v>
      </c>
      <c r="R289" s="1" t="s">
        <v>573</v>
      </c>
      <c r="S289" s="1" t="str">
        <f>PROPER(Table3[[#This Row],[Cancer_Type]])</f>
        <v>Breast</v>
      </c>
      <c r="T289" s="1" t="s">
        <v>593</v>
      </c>
      <c r="U289" s="4">
        <v>45124.05</v>
      </c>
      <c r="V289" s="1">
        <v>1.1000000000000001</v>
      </c>
      <c r="W289" s="1">
        <f t="shared" ca="1" si="36"/>
        <v>5</v>
      </c>
      <c r="X289" s="1">
        <v>5.44</v>
      </c>
      <c r="Y289" s="1" t="str">
        <f t="shared" si="37"/>
        <v>Stage II</v>
      </c>
      <c r="Z289" s="10">
        <f t="shared" si="38"/>
        <v>45124.05</v>
      </c>
    </row>
    <row r="290" spans="1:26">
      <c r="A290" s="1" t="s">
        <v>100</v>
      </c>
      <c r="B290" s="1">
        <v>85</v>
      </c>
      <c r="C290" s="1" t="s">
        <v>546</v>
      </c>
      <c r="D290" s="1" t="str">
        <f>PROPER(Table3[[#This Row],[Gender]])</f>
        <v>Unknown</v>
      </c>
      <c r="E290" s="1" t="s">
        <v>555</v>
      </c>
      <c r="F290" s="1" t="str">
        <f>PROPER(Table3[[#This Row],[Country_Region]])</f>
        <v>Russia</v>
      </c>
      <c r="G290" s="1">
        <v>2022</v>
      </c>
      <c r="H290" s="1">
        <v>4.8</v>
      </c>
      <c r="I290" s="1">
        <f>IF(H290="", AVERAGEIF('CLEANED DATASET'!$G$2:$G$532,G290,'CLEANED DATASET'!$H92),H290)</f>
        <v>4.8</v>
      </c>
      <c r="J290" s="1">
        <v>4.8</v>
      </c>
      <c r="K290" s="1">
        <f t="shared" si="33"/>
        <v>4.8</v>
      </c>
      <c r="L290" s="1">
        <v>2.9</v>
      </c>
      <c r="M290" s="1">
        <f t="shared" si="34"/>
        <v>2.9</v>
      </c>
      <c r="N290" s="1">
        <v>6.1</v>
      </c>
      <c r="O290" s="1">
        <f t="shared" si="35"/>
        <v>6.1</v>
      </c>
      <c r="P290" s="1">
        <v>2.1</v>
      </c>
      <c r="Q290" s="1">
        <f t="shared" si="39"/>
        <v>2.1</v>
      </c>
      <c r="R290" s="1" t="s">
        <v>576</v>
      </c>
      <c r="S290" s="1" t="str">
        <f>PROPER(Table3[[#This Row],[Cancer_Type]])</f>
        <v>Cervical</v>
      </c>
      <c r="T290" s="1"/>
      <c r="U290" s="4">
        <v>43378.99</v>
      </c>
      <c r="V290" s="1">
        <v>2.6</v>
      </c>
      <c r="W290" s="1">
        <f t="shared" ca="1" si="36"/>
        <v>6</v>
      </c>
      <c r="X290" s="1">
        <v>4.68</v>
      </c>
      <c r="Y290" s="1" t="str">
        <f t="shared" si="37"/>
        <v>Stage II</v>
      </c>
      <c r="Z290" s="10">
        <f t="shared" si="38"/>
        <v>43378.99</v>
      </c>
    </row>
    <row r="291" spans="1:26">
      <c r="A291" s="1" t="s">
        <v>348</v>
      </c>
      <c r="B291" s="1">
        <v>30</v>
      </c>
      <c r="C291" s="1" t="s">
        <v>541</v>
      </c>
      <c r="D291" s="1" t="str">
        <f>PROPER(Table3[[#This Row],[Gender]])</f>
        <v>Other</v>
      </c>
      <c r="E291" s="1" t="s">
        <v>555</v>
      </c>
      <c r="F291" s="1" t="str">
        <f>PROPER(Table3[[#This Row],[Country_Region]])</f>
        <v>Russia</v>
      </c>
      <c r="G291" s="1">
        <v>2024</v>
      </c>
      <c r="H291" s="1">
        <v>6</v>
      </c>
      <c r="I291" s="1">
        <f>IF(H291="", AVERAGEIF('CLEANED DATASET'!$G$2:$G$532,G291,'CLEANED DATASET'!$H340),H291)</f>
        <v>6</v>
      </c>
      <c r="J291" s="1">
        <v>4.9000000000000004</v>
      </c>
      <c r="K291" s="1">
        <f t="shared" si="33"/>
        <v>4.9000000000000004</v>
      </c>
      <c r="L291" s="1">
        <v>6.1</v>
      </c>
      <c r="M291" s="1">
        <f t="shared" si="34"/>
        <v>6.1</v>
      </c>
      <c r="N291" s="1">
        <v>4.7</v>
      </c>
      <c r="O291" s="1">
        <f t="shared" si="35"/>
        <v>4.7</v>
      </c>
      <c r="P291" s="1">
        <v>6.7</v>
      </c>
      <c r="Q291" s="1">
        <f t="shared" si="39"/>
        <v>6.7</v>
      </c>
      <c r="R291" s="1" t="s">
        <v>579</v>
      </c>
      <c r="S291" s="1" t="str">
        <f>PROPER(Table3[[#This Row],[Cancer_Type]])</f>
        <v>Prostate</v>
      </c>
      <c r="T291" s="1" t="s">
        <v>592</v>
      </c>
      <c r="U291" s="4">
        <v>54035.6</v>
      </c>
      <c r="V291" s="1">
        <v>6.9</v>
      </c>
      <c r="W291" s="1">
        <f t="shared" ca="1" si="36"/>
        <v>5</v>
      </c>
      <c r="X291" s="1">
        <v>5.38</v>
      </c>
      <c r="Y291" s="1" t="str">
        <f t="shared" si="37"/>
        <v>Stage II</v>
      </c>
      <c r="Z291" s="10">
        <f t="shared" si="38"/>
        <v>54035.6</v>
      </c>
    </row>
    <row r="292" spans="1:26">
      <c r="A292" s="1" t="s">
        <v>529</v>
      </c>
      <c r="B292" s="1">
        <v>43</v>
      </c>
      <c r="C292" s="1" t="s">
        <v>542</v>
      </c>
      <c r="D292" s="1" t="str">
        <f>PROPER(Table3[[#This Row],[Gender]])</f>
        <v>Male</v>
      </c>
      <c r="E292" s="1" t="s">
        <v>548</v>
      </c>
      <c r="F292" s="1" t="str">
        <f>PROPER(Table3[[#This Row],[Country_Region]])</f>
        <v>Uk</v>
      </c>
      <c r="G292" s="1">
        <v>2022</v>
      </c>
      <c r="H292" s="1">
        <v>4.5999999999999996</v>
      </c>
      <c r="I292" s="1">
        <f>IF(H292="", AVERAGEIF('CLEANED DATASET'!$G$2:$G$532,G292,'CLEANED DATASET'!$H521),H292)</f>
        <v>4.5999999999999996</v>
      </c>
      <c r="J292" s="1">
        <v>2.9</v>
      </c>
      <c r="K292" s="1">
        <f t="shared" si="33"/>
        <v>2.9</v>
      </c>
      <c r="L292" s="1">
        <v>6</v>
      </c>
      <c r="M292" s="1">
        <f t="shared" si="34"/>
        <v>6</v>
      </c>
      <c r="N292" s="1">
        <v>5.3</v>
      </c>
      <c r="O292" s="1">
        <f t="shared" si="35"/>
        <v>5.3</v>
      </c>
      <c r="P292" s="1">
        <v>8.3000000000000007</v>
      </c>
      <c r="Q292" s="1">
        <f t="shared" si="39"/>
        <v>8.3000000000000007</v>
      </c>
      <c r="R292" s="1" t="s">
        <v>572</v>
      </c>
      <c r="S292" s="1" t="str">
        <f>PROPER(Table3[[#This Row],[Cancer_Type]])</f>
        <v>Leukemia</v>
      </c>
      <c r="T292" s="1"/>
      <c r="U292" s="4">
        <v>83131.34</v>
      </c>
      <c r="V292" s="1">
        <v>6.4</v>
      </c>
      <c r="W292" s="1">
        <f t="shared" ca="1" si="36"/>
        <v>6</v>
      </c>
      <c r="X292" s="1">
        <v>4.4800000000000004</v>
      </c>
      <c r="Y292" s="1" t="str">
        <f t="shared" si="37"/>
        <v>Stage II</v>
      </c>
      <c r="Z292" s="10">
        <f t="shared" si="38"/>
        <v>83131.34</v>
      </c>
    </row>
    <row r="293" spans="1:26">
      <c r="A293" s="1" t="s">
        <v>362</v>
      </c>
      <c r="B293" s="1">
        <v>36</v>
      </c>
      <c r="C293" s="1" t="s">
        <v>541</v>
      </c>
      <c r="D293" s="1" t="str">
        <f>PROPER(Table3[[#This Row],[Gender]])</f>
        <v>Other</v>
      </c>
      <c r="E293" s="1" t="s">
        <v>550</v>
      </c>
      <c r="F293" s="1" t="str">
        <f>PROPER(Table3[[#This Row],[Country_Region]])</f>
        <v>Pakistan</v>
      </c>
      <c r="G293" s="1">
        <v>2024</v>
      </c>
      <c r="H293" s="1">
        <v>2.7</v>
      </c>
      <c r="I293" s="1">
        <f>IF(H293="", AVERAGEIF('CLEANED DATASET'!$G$2:$G$532,G293,'CLEANED DATASET'!$H354),H293)</f>
        <v>2.7</v>
      </c>
      <c r="J293" s="1">
        <v>9.5</v>
      </c>
      <c r="K293" s="1">
        <f t="shared" si="33"/>
        <v>9.5</v>
      </c>
      <c r="L293" s="1">
        <v>5.6</v>
      </c>
      <c r="M293" s="1">
        <f t="shared" si="34"/>
        <v>5.6</v>
      </c>
      <c r="N293" s="1">
        <v>9.8000000000000007</v>
      </c>
      <c r="O293" s="1">
        <f t="shared" si="35"/>
        <v>9.8000000000000007</v>
      </c>
      <c r="P293" s="1">
        <v>7.4</v>
      </c>
      <c r="Q293" s="1">
        <f t="shared" si="39"/>
        <v>7.4</v>
      </c>
      <c r="R293" s="1" t="s">
        <v>572</v>
      </c>
      <c r="S293" s="1" t="str">
        <f>PROPER(Table3[[#This Row],[Cancer_Type]])</f>
        <v>Leukemia</v>
      </c>
      <c r="T293" s="1" t="s">
        <v>591</v>
      </c>
      <c r="U293" s="4">
        <v>63110.32</v>
      </c>
      <c r="V293" s="1">
        <v>6.6</v>
      </c>
      <c r="W293" s="1">
        <f t="shared" ca="1" si="36"/>
        <v>4</v>
      </c>
      <c r="X293" s="1">
        <v>6.24</v>
      </c>
      <c r="Y293" s="1" t="str">
        <f t="shared" si="37"/>
        <v>Stage III</v>
      </c>
      <c r="Z293" s="10">
        <f t="shared" si="38"/>
        <v>63110.32</v>
      </c>
    </row>
    <row r="294" spans="1:26">
      <c r="A294" s="1" t="s">
        <v>426</v>
      </c>
      <c r="B294" s="1">
        <v>83</v>
      </c>
      <c r="C294" s="1" t="s">
        <v>546</v>
      </c>
      <c r="D294" s="1" t="str">
        <f>PROPER(Table3[[#This Row],[Gender]])</f>
        <v>Unknown</v>
      </c>
      <c r="E294" s="1" t="s">
        <v>556</v>
      </c>
      <c r="F294" s="1" t="str">
        <f>PROPER(Table3[[#This Row],[Country_Region]])</f>
        <v>India</v>
      </c>
      <c r="G294" s="1">
        <v>2023</v>
      </c>
      <c r="H294" s="1">
        <v>5.8</v>
      </c>
      <c r="I294" s="1">
        <f>IF(H294="", AVERAGEIF('CLEANED DATASET'!$G$2:$G$532,G294,'CLEANED DATASET'!$H418),H294)</f>
        <v>5.8</v>
      </c>
      <c r="J294" s="1">
        <v>5</v>
      </c>
      <c r="K294" s="1">
        <f t="shared" si="33"/>
        <v>5</v>
      </c>
      <c r="L294" s="1">
        <v>6.9</v>
      </c>
      <c r="M294" s="1">
        <f t="shared" si="34"/>
        <v>6.9</v>
      </c>
      <c r="N294" s="1">
        <v>6.7</v>
      </c>
      <c r="O294" s="1">
        <f t="shared" si="35"/>
        <v>6.7</v>
      </c>
      <c r="P294" s="1">
        <v>2.7</v>
      </c>
      <c r="Q294" s="1">
        <f t="shared" si="39"/>
        <v>2.7</v>
      </c>
      <c r="R294" s="1" t="s">
        <v>573</v>
      </c>
      <c r="S294" s="1" t="str">
        <f>PROPER(Table3[[#This Row],[Cancer_Type]])</f>
        <v>Breast</v>
      </c>
      <c r="T294" s="1" t="s">
        <v>590</v>
      </c>
      <c r="U294" s="4">
        <v>16455.62</v>
      </c>
      <c r="V294" s="1">
        <v>8.5</v>
      </c>
      <c r="W294" s="1">
        <f t="shared" ca="1" si="36"/>
        <v>3</v>
      </c>
      <c r="X294" s="1">
        <v>6.23</v>
      </c>
      <c r="Y294" s="1" t="str">
        <f t="shared" si="37"/>
        <v>Stage III</v>
      </c>
      <c r="Z294" s="10">
        <f t="shared" si="38"/>
        <v>16455.62</v>
      </c>
    </row>
    <row r="295" spans="1:26">
      <c r="A295" s="1" t="s">
        <v>90</v>
      </c>
      <c r="B295" s="1">
        <v>86</v>
      </c>
      <c r="C295" s="1" t="s">
        <v>543</v>
      </c>
      <c r="D295" s="1" t="str">
        <f>PROPER(Table3[[#This Row],[Gender]])</f>
        <v>Female</v>
      </c>
      <c r="E295" s="1" t="s">
        <v>556</v>
      </c>
      <c r="F295" s="1" t="str">
        <f>PROPER(Table3[[#This Row],[Country_Region]])</f>
        <v>India</v>
      </c>
      <c r="G295" s="1">
        <v>2023</v>
      </c>
      <c r="H295" s="1"/>
      <c r="I295" s="3">
        <f ca="1">IF(H295="", AVERAGEIF('CLEANED DATASET'!$G$2:$G$532,G295,'CLEANED DATASET'!$H82),H295)</f>
        <v>5.7624113475177285</v>
      </c>
      <c r="J295" s="1">
        <v>2.4</v>
      </c>
      <c r="K295" s="1">
        <f t="shared" si="33"/>
        <v>2.4</v>
      </c>
      <c r="L295" s="1">
        <v>7.7</v>
      </c>
      <c r="M295" s="1">
        <f t="shared" si="34"/>
        <v>7.7</v>
      </c>
      <c r="N295" s="1">
        <v>8.9</v>
      </c>
      <c r="O295" s="1">
        <f t="shared" si="35"/>
        <v>8.9</v>
      </c>
      <c r="P295" s="1">
        <v>6.2</v>
      </c>
      <c r="Q295" s="1">
        <f t="shared" si="39"/>
        <v>6.2</v>
      </c>
      <c r="R295" s="1" t="s">
        <v>576</v>
      </c>
      <c r="S295" s="1" t="str">
        <f>PROPER(Table3[[#This Row],[Cancer_Type]])</f>
        <v>Cervical</v>
      </c>
      <c r="T295" s="1" t="s">
        <v>594</v>
      </c>
      <c r="U295" s="4">
        <v>20814.84</v>
      </c>
      <c r="V295" s="1">
        <v>5.3</v>
      </c>
      <c r="W295" s="1">
        <f t="shared" ca="1" si="36"/>
        <v>3</v>
      </c>
      <c r="X295" s="1">
        <v>7.32</v>
      </c>
      <c r="Y295" s="1" t="str">
        <f t="shared" si="37"/>
        <v>Stage III</v>
      </c>
      <c r="Z295" s="10">
        <f t="shared" si="38"/>
        <v>20814.84</v>
      </c>
    </row>
    <row r="296" spans="1:26">
      <c r="A296" s="1" t="s">
        <v>479</v>
      </c>
      <c r="B296" s="1">
        <v>36</v>
      </c>
      <c r="C296" s="1" t="s">
        <v>542</v>
      </c>
      <c r="D296" s="1" t="str">
        <f>PROPER(Table3[[#This Row],[Gender]])</f>
        <v>Male</v>
      </c>
      <c r="E296" s="1" t="s">
        <v>550</v>
      </c>
      <c r="F296" s="1" t="str">
        <f>PROPER(Table3[[#This Row],[Country_Region]])</f>
        <v>Pakistan</v>
      </c>
      <c r="G296" s="1">
        <v>2024</v>
      </c>
      <c r="H296" s="1">
        <v>6.8</v>
      </c>
      <c r="I296" s="1">
        <f>IF(H296="", AVERAGEIF('CLEANED DATASET'!$G$2:$G$532,G296,'CLEANED DATASET'!$H471),H296)</f>
        <v>6.8</v>
      </c>
      <c r="J296" s="1">
        <v>2.5</v>
      </c>
      <c r="K296" s="1">
        <f t="shared" si="33"/>
        <v>2.5</v>
      </c>
      <c r="L296" s="1">
        <v>0.1</v>
      </c>
      <c r="M296" s="1">
        <f t="shared" si="34"/>
        <v>0.1</v>
      </c>
      <c r="N296" s="1">
        <v>7.6</v>
      </c>
      <c r="O296" s="1">
        <f t="shared" si="35"/>
        <v>7.6</v>
      </c>
      <c r="P296" s="1">
        <v>9</v>
      </c>
      <c r="Q296" s="1">
        <f t="shared" si="39"/>
        <v>9</v>
      </c>
      <c r="R296" s="1" t="s">
        <v>571</v>
      </c>
      <c r="S296" s="1" t="str">
        <f>PROPER(Table3[[#This Row],[Cancer_Type]])</f>
        <v>Lung</v>
      </c>
      <c r="T296" s="1" t="s">
        <v>590</v>
      </c>
      <c r="U296" s="4">
        <v>21295.119999999999</v>
      </c>
      <c r="V296" s="1">
        <v>5.4</v>
      </c>
      <c r="W296" s="1">
        <f t="shared" ca="1" si="36"/>
        <v>5</v>
      </c>
      <c r="X296" s="1">
        <v>5.74</v>
      </c>
      <c r="Y296" s="1" t="str">
        <f t="shared" si="37"/>
        <v>Stage II</v>
      </c>
      <c r="Z296" s="10">
        <f t="shared" si="38"/>
        <v>21295.119999999999</v>
      </c>
    </row>
    <row r="297" spans="1:26">
      <c r="A297" s="1" t="s">
        <v>443</v>
      </c>
      <c r="B297" s="1">
        <v>45</v>
      </c>
      <c r="C297" s="1" t="s">
        <v>547</v>
      </c>
      <c r="D297" s="1" t="str">
        <f>PROPER(Table3[[#This Row],[Gender]])</f>
        <v>Male</v>
      </c>
      <c r="E297" s="1" t="s">
        <v>554</v>
      </c>
      <c r="F297" s="1" t="str">
        <f>PROPER(Table3[[#This Row],[Country_Region]])</f>
        <v>Brazil</v>
      </c>
      <c r="G297" s="1">
        <v>2022</v>
      </c>
      <c r="H297" s="1">
        <v>4</v>
      </c>
      <c r="I297" s="1">
        <f>IF(H297="", AVERAGEIF('CLEANED DATASET'!$G$2:$G$532,G297,'CLEANED DATASET'!$H435),H297)</f>
        <v>4</v>
      </c>
      <c r="J297" s="1">
        <v>5.8</v>
      </c>
      <c r="K297" s="1">
        <f t="shared" si="33"/>
        <v>5.8</v>
      </c>
      <c r="L297" s="1">
        <v>0.7</v>
      </c>
      <c r="M297" s="1">
        <f t="shared" si="34"/>
        <v>0.7</v>
      </c>
      <c r="N297" s="1">
        <v>6.8</v>
      </c>
      <c r="O297" s="1">
        <f t="shared" si="35"/>
        <v>6.8</v>
      </c>
      <c r="P297" s="1">
        <v>50.5</v>
      </c>
      <c r="Q297" s="1">
        <f t="shared" si="39"/>
        <v>50.5</v>
      </c>
      <c r="R297" s="1" t="s">
        <v>574</v>
      </c>
      <c r="S297" s="1" t="str">
        <f>PROPER(Table3[[#This Row],[Cancer_Type]])</f>
        <v>Colon</v>
      </c>
      <c r="T297" s="1" t="s">
        <v>591</v>
      </c>
      <c r="U297" s="4">
        <v>17832.32</v>
      </c>
      <c r="V297" s="1">
        <v>1</v>
      </c>
      <c r="W297" s="1">
        <f t="shared" ca="1" si="36"/>
        <v>5</v>
      </c>
      <c r="X297" s="1">
        <v>4.9000000000000004</v>
      </c>
      <c r="Y297" s="1" t="str">
        <f t="shared" si="37"/>
        <v>Stage II</v>
      </c>
      <c r="Z297" s="10">
        <f t="shared" si="38"/>
        <v>17832.32</v>
      </c>
    </row>
    <row r="298" spans="1:26">
      <c r="A298" s="1" t="s">
        <v>394</v>
      </c>
      <c r="B298" s="1">
        <v>66</v>
      </c>
      <c r="C298" s="1" t="s">
        <v>542</v>
      </c>
      <c r="D298" s="1" t="str">
        <f>PROPER(Table3[[#This Row],[Gender]])</f>
        <v>Male</v>
      </c>
      <c r="E298" s="1" t="s">
        <v>555</v>
      </c>
      <c r="F298" s="1" t="str">
        <f>PROPER(Table3[[#This Row],[Country_Region]])</f>
        <v>Russia</v>
      </c>
      <c r="G298" s="1">
        <v>2022</v>
      </c>
      <c r="H298" s="1">
        <v>0.7</v>
      </c>
      <c r="I298" s="1">
        <f>IF(H298="", AVERAGEIF('CLEANED DATASET'!$G$2:$G$532,G298,'CLEANED DATASET'!$H386),H298)</f>
        <v>0.7</v>
      </c>
      <c r="J298" s="1">
        <v>10</v>
      </c>
      <c r="K298" s="1">
        <f t="shared" si="33"/>
        <v>10</v>
      </c>
      <c r="L298" s="1">
        <v>9.6999999999999993</v>
      </c>
      <c r="M298" s="1">
        <f t="shared" si="34"/>
        <v>9.6999999999999993</v>
      </c>
      <c r="N298" s="1">
        <v>0.6</v>
      </c>
      <c r="O298" s="1">
        <f t="shared" si="35"/>
        <v>0.6</v>
      </c>
      <c r="P298" s="1">
        <v>3.1</v>
      </c>
      <c r="Q298" s="1">
        <f t="shared" si="39"/>
        <v>3.1</v>
      </c>
      <c r="R298" s="1" t="s">
        <v>578</v>
      </c>
      <c r="S298" s="1" t="str">
        <f>PROPER(Table3[[#This Row],[Cancer_Type]])</f>
        <v>Liver</v>
      </c>
      <c r="T298" s="1" t="s">
        <v>591</v>
      </c>
      <c r="U298" s="4">
        <v>73692.47</v>
      </c>
      <c r="V298" s="1">
        <v>4.8</v>
      </c>
      <c r="W298" s="1">
        <f t="shared" ca="1" si="36"/>
        <v>6</v>
      </c>
      <c r="X298" s="1">
        <v>4.05</v>
      </c>
      <c r="Y298" s="1" t="str">
        <f t="shared" si="37"/>
        <v>Stage II</v>
      </c>
      <c r="Z298" s="10">
        <f t="shared" si="38"/>
        <v>73692.47</v>
      </c>
    </row>
    <row r="299" spans="1:26">
      <c r="A299" s="1" t="s">
        <v>188</v>
      </c>
      <c r="B299" s="1">
        <v>31</v>
      </c>
      <c r="C299" s="1" t="s">
        <v>541</v>
      </c>
      <c r="D299" s="1" t="str">
        <f>PROPER(Table3[[#This Row],[Gender]])</f>
        <v>Other</v>
      </c>
      <c r="E299" s="1" t="s">
        <v>560</v>
      </c>
      <c r="F299" s="1" t="str">
        <f>PROPER(Table3[[#This Row],[Country_Region]])</f>
        <v>Usa</v>
      </c>
      <c r="G299" s="1">
        <v>2022</v>
      </c>
      <c r="H299" s="1">
        <v>7.5</v>
      </c>
      <c r="I299" s="1">
        <f>IF(H299="", AVERAGEIF('CLEANED DATASET'!$G$2:$G$532,G299,'CLEANED DATASET'!$H180),H299)</f>
        <v>7.5</v>
      </c>
      <c r="J299" s="1">
        <v>8</v>
      </c>
      <c r="K299" s="1">
        <f t="shared" si="33"/>
        <v>8</v>
      </c>
      <c r="L299" s="1">
        <v>4.2</v>
      </c>
      <c r="M299" s="1">
        <f t="shared" si="34"/>
        <v>4.2</v>
      </c>
      <c r="N299" s="1">
        <v>1.7</v>
      </c>
      <c r="O299" s="1">
        <f t="shared" si="35"/>
        <v>1.7</v>
      </c>
      <c r="P299" s="1">
        <v>4</v>
      </c>
      <c r="Q299" s="1">
        <f t="shared" si="39"/>
        <v>4</v>
      </c>
      <c r="R299" s="1" t="s">
        <v>570</v>
      </c>
      <c r="S299" s="1" t="str">
        <f>PROPER(Table3[[#This Row],[Cancer_Type]])</f>
        <v>Skin</v>
      </c>
      <c r="T299" s="1" t="s">
        <v>590</v>
      </c>
      <c r="U299" s="4">
        <v>51554.93</v>
      </c>
      <c r="V299" s="1">
        <v>8.6</v>
      </c>
      <c r="W299" s="1">
        <f t="shared" ca="1" si="36"/>
        <v>5</v>
      </c>
      <c r="X299" s="1">
        <v>5.04</v>
      </c>
      <c r="Y299" s="1" t="str">
        <f t="shared" si="37"/>
        <v>Stage II</v>
      </c>
      <c r="Z299" s="10">
        <f t="shared" si="38"/>
        <v>51554.93</v>
      </c>
    </row>
    <row r="300" spans="1:26">
      <c r="A300" s="1" t="s">
        <v>432</v>
      </c>
      <c r="B300" s="1">
        <v>84</v>
      </c>
      <c r="C300" s="1" t="s">
        <v>543</v>
      </c>
      <c r="D300" s="1" t="str">
        <f>PROPER(Table3[[#This Row],[Gender]])</f>
        <v>Female</v>
      </c>
      <c r="E300" s="1" t="s">
        <v>556</v>
      </c>
      <c r="F300" s="1" t="str">
        <f>PROPER(Table3[[#This Row],[Country_Region]])</f>
        <v>India</v>
      </c>
      <c r="G300" s="1">
        <v>2022</v>
      </c>
      <c r="H300" s="1">
        <v>0.3</v>
      </c>
      <c r="I300" s="1">
        <f>IF(H300="", AVERAGEIF('CLEANED DATASET'!$G$2:$G$532,G300,'CLEANED DATASET'!$H424),H300)</f>
        <v>0.3</v>
      </c>
      <c r="J300" s="1">
        <v>6.3</v>
      </c>
      <c r="K300" s="1">
        <f t="shared" si="33"/>
        <v>6.3</v>
      </c>
      <c r="L300" s="1">
        <v>2.8</v>
      </c>
      <c r="M300" s="1">
        <f t="shared" si="34"/>
        <v>2.8</v>
      </c>
      <c r="N300" s="1">
        <v>0.6</v>
      </c>
      <c r="O300" s="1">
        <f t="shared" si="35"/>
        <v>0.6</v>
      </c>
      <c r="P300" s="1">
        <v>4.7</v>
      </c>
      <c r="Q300" s="1">
        <f t="shared" si="39"/>
        <v>4.7</v>
      </c>
      <c r="R300" s="1" t="s">
        <v>570</v>
      </c>
      <c r="S300" s="1" t="str">
        <f>PROPER(Table3[[#This Row],[Cancer_Type]])</f>
        <v>Skin</v>
      </c>
      <c r="T300" s="1" t="s">
        <v>592</v>
      </c>
      <c r="U300" s="4">
        <v>91887.83</v>
      </c>
      <c r="V300" s="1">
        <v>9</v>
      </c>
      <c r="W300" s="1">
        <f t="shared" ca="1" si="36"/>
        <v>8</v>
      </c>
      <c r="X300" s="1">
        <v>2.1800000000000002</v>
      </c>
      <c r="Y300" s="1" t="str">
        <f t="shared" si="37"/>
        <v>Stage I</v>
      </c>
      <c r="Z300" s="10">
        <f t="shared" si="38"/>
        <v>91887.83</v>
      </c>
    </row>
    <row r="301" spans="1:26">
      <c r="A301" s="1" t="s">
        <v>97</v>
      </c>
      <c r="B301" s="1">
        <v>27</v>
      </c>
      <c r="C301" s="1" t="s">
        <v>541</v>
      </c>
      <c r="D301" s="1" t="str">
        <f>PROPER(Table3[[#This Row],[Gender]])</f>
        <v>Other</v>
      </c>
      <c r="E301" s="1" t="s">
        <v>549</v>
      </c>
      <c r="F301" s="1" t="str">
        <f>PROPER(Table3[[#This Row],[Country_Region]])</f>
        <v>Australia</v>
      </c>
      <c r="G301" s="1">
        <v>2022</v>
      </c>
      <c r="H301" s="1">
        <v>2.4</v>
      </c>
      <c r="I301" s="1">
        <f>IF(H301="", AVERAGEIF('CLEANED DATASET'!$G$2:$G$532,G301,'CLEANED DATASET'!$H89),H301)</f>
        <v>2.4</v>
      </c>
      <c r="J301" s="1">
        <v>7.1</v>
      </c>
      <c r="K301" s="1">
        <f t="shared" si="33"/>
        <v>7.1</v>
      </c>
      <c r="L301" s="1">
        <v>3</v>
      </c>
      <c r="M301" s="1">
        <f t="shared" si="34"/>
        <v>3</v>
      </c>
      <c r="N301" s="1">
        <v>9.6</v>
      </c>
      <c r="O301" s="1">
        <f t="shared" si="35"/>
        <v>9.6</v>
      </c>
      <c r="P301" s="1">
        <v>4.0999999999999996</v>
      </c>
      <c r="Q301" s="1">
        <f t="shared" si="39"/>
        <v>4.0999999999999996</v>
      </c>
      <c r="R301" s="1" t="s">
        <v>572</v>
      </c>
      <c r="S301" s="1" t="str">
        <f>PROPER(Table3[[#This Row],[Cancer_Type]])</f>
        <v>Leukemia</v>
      </c>
      <c r="T301" s="1" t="s">
        <v>591</v>
      </c>
      <c r="U301" s="4">
        <v>89145.52</v>
      </c>
      <c r="V301" s="1">
        <v>4.9000000000000004</v>
      </c>
      <c r="W301" s="1">
        <f t="shared" ca="1" si="36"/>
        <v>1</v>
      </c>
      <c r="X301" s="3">
        <f>ROUND(I301+K301+M301+O301+Q301+(10-V301)/6, 2)</f>
        <v>27.05</v>
      </c>
      <c r="Y301" s="1" t="str">
        <f t="shared" si="37"/>
        <v>Stage IV</v>
      </c>
      <c r="Z301" s="10">
        <f t="shared" si="38"/>
        <v>89145.52</v>
      </c>
    </row>
    <row r="302" spans="1:26">
      <c r="A302" s="1" t="s">
        <v>319</v>
      </c>
      <c r="B302" s="1">
        <v>64</v>
      </c>
      <c r="C302" s="1" t="s">
        <v>543</v>
      </c>
      <c r="D302" s="1" t="str">
        <f>PROPER(Table3[[#This Row],[Gender]])</f>
        <v>Female</v>
      </c>
      <c r="E302" s="1" t="s">
        <v>553</v>
      </c>
      <c r="F302" s="1" t="str">
        <f>PROPER(Table3[[#This Row],[Country_Region]])</f>
        <v>Canada</v>
      </c>
      <c r="G302" s="1">
        <v>2024</v>
      </c>
      <c r="H302" s="1">
        <v>0.2</v>
      </c>
      <c r="I302" s="1">
        <f>IF(H302="", AVERAGEIF('CLEANED DATASET'!$G$2:$G$532,G302,'CLEANED DATASET'!$H311),H302)</f>
        <v>0.2</v>
      </c>
      <c r="J302" s="1">
        <v>7.8</v>
      </c>
      <c r="K302" s="1">
        <f t="shared" si="33"/>
        <v>7.8</v>
      </c>
      <c r="L302" s="1">
        <v>4.0999999999999996</v>
      </c>
      <c r="M302" s="1">
        <f t="shared" si="34"/>
        <v>4.0999999999999996</v>
      </c>
      <c r="N302" s="1">
        <v>8.6</v>
      </c>
      <c r="O302" s="1">
        <f t="shared" si="35"/>
        <v>8.6</v>
      </c>
      <c r="P302" s="1">
        <v>8.5</v>
      </c>
      <c r="Q302" s="1">
        <f t="shared" si="39"/>
        <v>8.5</v>
      </c>
      <c r="R302" s="1" t="s">
        <v>578</v>
      </c>
      <c r="S302" s="1" t="str">
        <f>PROPER(Table3[[#This Row],[Cancer_Type]])</f>
        <v>Liver</v>
      </c>
      <c r="T302" s="1" t="s">
        <v>592</v>
      </c>
      <c r="U302" s="4">
        <v>88049.25</v>
      </c>
      <c r="V302" s="1">
        <v>6.1</v>
      </c>
      <c r="W302" s="1">
        <f t="shared" ca="1" si="36"/>
        <v>5</v>
      </c>
      <c r="X302" s="1">
        <v>4.63</v>
      </c>
      <c r="Y302" s="1" t="str">
        <f t="shared" si="37"/>
        <v>Stage II</v>
      </c>
      <c r="Z302" s="10">
        <f t="shared" si="38"/>
        <v>88049.25</v>
      </c>
    </row>
    <row r="303" spans="1:26">
      <c r="A303" s="1" t="s">
        <v>458</v>
      </c>
      <c r="B303" s="1">
        <v>81</v>
      </c>
      <c r="C303" s="1" t="s">
        <v>617</v>
      </c>
      <c r="D303" s="1" t="str">
        <f>PROPER(Table3[[#This Row],[Gender]])</f>
        <v>Female</v>
      </c>
      <c r="E303" s="1" t="s">
        <v>568</v>
      </c>
      <c r="F303" s="1" t="str">
        <f>PROPER(Table3[[#This Row],[Country_Region]])</f>
        <v>Canada</v>
      </c>
      <c r="G303" s="1">
        <v>2024</v>
      </c>
      <c r="H303" s="1">
        <v>5.4</v>
      </c>
      <c r="I303" s="1">
        <f>IF(H303="", AVERAGEIF('CLEANED DATASET'!$G$2:$G$532,G303,'CLEANED DATASET'!$H450),H303)</f>
        <v>5.4</v>
      </c>
      <c r="J303" s="1">
        <v>5.2</v>
      </c>
      <c r="K303" s="1">
        <f t="shared" si="33"/>
        <v>5.2</v>
      </c>
      <c r="L303" s="1">
        <v>6.1</v>
      </c>
      <c r="M303" s="1">
        <f t="shared" si="34"/>
        <v>6.1</v>
      </c>
      <c r="N303" s="1">
        <v>3.1</v>
      </c>
      <c r="O303" s="1">
        <f t="shared" si="35"/>
        <v>3.1</v>
      </c>
      <c r="P303" s="1">
        <v>8</v>
      </c>
      <c r="Q303" s="1">
        <f t="shared" si="39"/>
        <v>8</v>
      </c>
      <c r="R303" s="1" t="s">
        <v>574</v>
      </c>
      <c r="S303" s="1" t="str">
        <f>PROPER(Table3[[#This Row],[Cancer_Type]])</f>
        <v>Colon</v>
      </c>
      <c r="T303" s="1" t="s">
        <v>594</v>
      </c>
      <c r="U303" s="4"/>
      <c r="V303" s="1">
        <v>7.7</v>
      </c>
      <c r="W303" s="1">
        <f t="shared" ca="1" si="36"/>
        <v>6</v>
      </c>
      <c r="X303" s="1">
        <v>5.58</v>
      </c>
      <c r="Y303" s="1" t="str">
        <f t="shared" si="37"/>
        <v>Stage II</v>
      </c>
      <c r="Z303" s="10">
        <f t="shared" si="38"/>
        <v>67161.36</v>
      </c>
    </row>
    <row r="304" spans="1:26">
      <c r="A304" s="1" t="s">
        <v>84</v>
      </c>
      <c r="B304" s="1">
        <v>52</v>
      </c>
      <c r="C304" s="1" t="s">
        <v>541</v>
      </c>
      <c r="D304" s="1" t="str">
        <f>PROPER(Table3[[#This Row],[Gender]])</f>
        <v>Other</v>
      </c>
      <c r="E304" s="5" t="s">
        <v>554</v>
      </c>
      <c r="F304" s="1" t="str">
        <f>PROPER(Table3[[#This Row],[Country_Region]])</f>
        <v>Brazil</v>
      </c>
      <c r="G304" s="1">
        <v>2022</v>
      </c>
      <c r="H304" s="1">
        <v>8.4</v>
      </c>
      <c r="I304" s="1">
        <f>IF(H304="", AVERAGEIF('CLEANED DATASET'!$G$2:$G$532,G304,'CLEANED DATASET'!$H76),H304)</f>
        <v>8.4</v>
      </c>
      <c r="J304" s="1">
        <v>6.5</v>
      </c>
      <c r="K304" s="1">
        <f t="shared" si="33"/>
        <v>6.5</v>
      </c>
      <c r="L304" s="1"/>
      <c r="M304" s="3">
        <f t="shared" si="34"/>
        <v>5.0696969696969703</v>
      </c>
      <c r="N304" s="1">
        <v>0.1</v>
      </c>
      <c r="O304" s="1">
        <f t="shared" si="35"/>
        <v>0.1</v>
      </c>
      <c r="P304" s="1">
        <v>2.7</v>
      </c>
      <c r="Q304" s="1">
        <f t="shared" si="39"/>
        <v>2.7</v>
      </c>
      <c r="R304" s="1" t="s">
        <v>576</v>
      </c>
      <c r="S304" s="1" t="str">
        <f>PROPER(Table3[[#This Row],[Cancer_Type]])</f>
        <v>Cervical</v>
      </c>
      <c r="T304" s="1" t="s">
        <v>594</v>
      </c>
      <c r="U304" s="4">
        <v>75495.960000000006</v>
      </c>
      <c r="V304" s="1">
        <v>6.6</v>
      </c>
      <c r="W304" s="1">
        <f t="shared" ca="1" si="36"/>
        <v>5</v>
      </c>
      <c r="X304" s="1">
        <v>4.2</v>
      </c>
      <c r="Y304" s="1" t="str">
        <f t="shared" si="37"/>
        <v>Stage II</v>
      </c>
      <c r="Z304" s="10">
        <f t="shared" si="38"/>
        <v>75495.960000000006</v>
      </c>
    </row>
    <row r="305" spans="1:26">
      <c r="A305" s="1" t="s">
        <v>60</v>
      </c>
      <c r="B305" s="1">
        <v>74</v>
      </c>
      <c r="C305" s="1" t="s">
        <v>542</v>
      </c>
      <c r="D305" s="1" t="str">
        <f>PROPER(Table3[[#This Row],[Gender]])</f>
        <v>Male</v>
      </c>
      <c r="E305" s="1" t="s">
        <v>555</v>
      </c>
      <c r="F305" s="1" t="str">
        <f>PROPER(Table3[[#This Row],[Country_Region]])</f>
        <v>Russia</v>
      </c>
      <c r="G305" s="1">
        <v>2024</v>
      </c>
      <c r="H305" s="1">
        <v>4.4000000000000004</v>
      </c>
      <c r="I305" s="1">
        <f>IF(H305="", AVERAGEIF('CLEANED DATASET'!$G$2:$G$532,G305,'CLEANED DATASET'!$H52),H305)</f>
        <v>4.4000000000000004</v>
      </c>
      <c r="J305" s="1">
        <v>1.5</v>
      </c>
      <c r="K305" s="1">
        <f t="shared" si="33"/>
        <v>1.5</v>
      </c>
      <c r="L305" s="1"/>
      <c r="M305" s="3">
        <f t="shared" si="34"/>
        <v>4.7586666666666675</v>
      </c>
      <c r="N305" s="1">
        <v>8.9</v>
      </c>
      <c r="O305" s="1">
        <f t="shared" si="35"/>
        <v>8.9</v>
      </c>
      <c r="P305" s="1">
        <v>7.7</v>
      </c>
      <c r="Q305" s="1">
        <f t="shared" si="39"/>
        <v>7.7</v>
      </c>
      <c r="R305" s="1" t="s">
        <v>573</v>
      </c>
      <c r="S305" s="1" t="str">
        <f>PROPER(Table3[[#This Row],[Cancer_Type]])</f>
        <v>Breast</v>
      </c>
      <c r="T305" s="1" t="s">
        <v>590</v>
      </c>
      <c r="U305" s="4">
        <v>34799.15</v>
      </c>
      <c r="V305" s="1">
        <f>ROUND(10-((I305+K305+M305+O305+Q305)/5),1)</f>
        <v>4.5</v>
      </c>
      <c r="W305" s="1">
        <f t="shared" ca="1" si="36"/>
        <v>5</v>
      </c>
      <c r="X305" s="1">
        <v>5.08</v>
      </c>
      <c r="Y305" s="1" t="str">
        <f t="shared" si="37"/>
        <v>Stage II</v>
      </c>
      <c r="Z305" s="10">
        <f t="shared" si="38"/>
        <v>34799.15</v>
      </c>
    </row>
    <row r="306" spans="1:26">
      <c r="A306" s="1" t="s">
        <v>483</v>
      </c>
      <c r="B306" s="1">
        <v>85</v>
      </c>
      <c r="C306" s="1" t="s">
        <v>542</v>
      </c>
      <c r="D306" s="1" t="str">
        <f>PROPER(Table3[[#This Row],[Gender]])</f>
        <v>Male</v>
      </c>
      <c r="E306" s="1" t="s">
        <v>549</v>
      </c>
      <c r="F306" s="1" t="str">
        <f>PROPER(Table3[[#This Row],[Country_Region]])</f>
        <v>Australia</v>
      </c>
      <c r="G306" s="1">
        <v>2023</v>
      </c>
      <c r="H306" s="1">
        <v>4.9000000000000004</v>
      </c>
      <c r="I306" s="1">
        <f>IF(H306="", AVERAGEIF('CLEANED DATASET'!$G$2:$G$532,G306,'CLEANED DATASET'!$H475),H306)</f>
        <v>4.9000000000000004</v>
      </c>
      <c r="J306" s="1">
        <v>9.1</v>
      </c>
      <c r="K306" s="1">
        <f t="shared" si="33"/>
        <v>9.1</v>
      </c>
      <c r="L306" s="1">
        <v>7.3</v>
      </c>
      <c r="M306" s="1">
        <f t="shared" si="34"/>
        <v>7.3</v>
      </c>
      <c r="N306" s="1">
        <v>8.8000000000000007</v>
      </c>
      <c r="O306" s="1">
        <f t="shared" si="35"/>
        <v>8.8000000000000007</v>
      </c>
      <c r="P306" s="1">
        <v>5.2</v>
      </c>
      <c r="Q306" s="1">
        <f t="shared" si="39"/>
        <v>5.2</v>
      </c>
      <c r="R306" s="1" t="s">
        <v>571</v>
      </c>
      <c r="S306" s="1" t="str">
        <f>PROPER(Table3[[#This Row],[Cancer_Type]])</f>
        <v>Lung</v>
      </c>
      <c r="T306" s="1" t="s">
        <v>590</v>
      </c>
      <c r="U306" s="4">
        <v>6988.99</v>
      </c>
      <c r="V306" s="1">
        <v>7.8</v>
      </c>
      <c r="W306" s="1">
        <f t="shared" ca="1" si="36"/>
        <v>3</v>
      </c>
      <c r="X306" s="1">
        <v>7.58</v>
      </c>
      <c r="Y306" s="1" t="str">
        <f t="shared" si="37"/>
        <v>Stage III</v>
      </c>
      <c r="Z306" s="10">
        <f t="shared" si="38"/>
        <v>6988.99</v>
      </c>
    </row>
    <row r="307" spans="1:26">
      <c r="A307" s="1" t="s">
        <v>398</v>
      </c>
      <c r="B307" s="1">
        <v>40</v>
      </c>
      <c r="C307" s="1" t="s">
        <v>542</v>
      </c>
      <c r="D307" s="1" t="str">
        <f>PROPER(Table3[[#This Row],[Gender]])</f>
        <v>Male</v>
      </c>
      <c r="E307" s="1" t="s">
        <v>549</v>
      </c>
      <c r="F307" s="1" t="str">
        <f>PROPER(Table3[[#This Row],[Country_Region]])</f>
        <v>Australia</v>
      </c>
      <c r="G307" s="1">
        <v>2022</v>
      </c>
      <c r="H307" s="1">
        <v>2.2999999999999998</v>
      </c>
      <c r="I307" s="1">
        <f>IF(H307="", AVERAGEIF('CLEANED DATASET'!$G$2:$G$532,G307,'CLEANED DATASET'!$H390),H307)</f>
        <v>2.2999999999999998</v>
      </c>
      <c r="J307" s="1">
        <v>0.8</v>
      </c>
      <c r="K307" s="1">
        <f t="shared" si="33"/>
        <v>0.8</v>
      </c>
      <c r="L307" s="1">
        <v>10</v>
      </c>
      <c r="M307" s="1">
        <f t="shared" si="34"/>
        <v>10</v>
      </c>
      <c r="N307" s="1">
        <v>1.5</v>
      </c>
      <c r="O307" s="1">
        <f t="shared" si="35"/>
        <v>1.5</v>
      </c>
      <c r="P307" s="1"/>
      <c r="Q307" s="1">
        <f t="shared" si="39"/>
        <v>5.4441176470588246</v>
      </c>
      <c r="R307" s="1" t="s">
        <v>571</v>
      </c>
      <c r="S307" s="1" t="str">
        <f>PROPER(Table3[[#This Row],[Cancer_Type]])</f>
        <v>Lung</v>
      </c>
      <c r="T307" s="1" t="s">
        <v>593</v>
      </c>
      <c r="U307" s="4">
        <v>32580.31</v>
      </c>
      <c r="V307" s="1">
        <v>3.2</v>
      </c>
      <c r="W307" s="1">
        <f t="shared" ca="1" si="36"/>
        <v>6</v>
      </c>
      <c r="X307" s="1">
        <v>4.2300000000000004</v>
      </c>
      <c r="Y307" s="1" t="str">
        <f t="shared" si="37"/>
        <v>Stage II</v>
      </c>
      <c r="Z307" s="10">
        <f t="shared" si="38"/>
        <v>32580.31</v>
      </c>
    </row>
    <row r="308" spans="1:26">
      <c r="A308" s="1" t="s">
        <v>187</v>
      </c>
      <c r="B308" s="1">
        <v>63</v>
      </c>
      <c r="C308" s="1" t="s">
        <v>541</v>
      </c>
      <c r="D308" s="1" t="str">
        <f>PROPER(Table3[[#This Row],[Gender]])</f>
        <v>Other</v>
      </c>
      <c r="E308" s="1" t="s">
        <v>554</v>
      </c>
      <c r="F308" s="1" t="str">
        <f>PROPER(Table3[[#This Row],[Country_Region]])</f>
        <v>Brazil</v>
      </c>
      <c r="G308" s="1">
        <v>2022</v>
      </c>
      <c r="H308" s="1">
        <v>1.9</v>
      </c>
      <c r="I308" s="1">
        <f>IF(H308="", AVERAGEIF('CLEANED DATASET'!$G$2:$G$532,G308,'CLEANED DATASET'!$H179),H308)</f>
        <v>1.9</v>
      </c>
      <c r="J308" s="1">
        <v>3.1</v>
      </c>
      <c r="K308" s="1">
        <f t="shared" si="33"/>
        <v>3.1</v>
      </c>
      <c r="L308" s="1">
        <v>0.1</v>
      </c>
      <c r="M308" s="1">
        <f t="shared" si="34"/>
        <v>0.1</v>
      </c>
      <c r="N308" s="1">
        <v>0.2</v>
      </c>
      <c r="O308" s="1">
        <f t="shared" si="35"/>
        <v>0.2</v>
      </c>
      <c r="P308" s="1">
        <v>5.9</v>
      </c>
      <c r="Q308" s="1">
        <f t="shared" si="39"/>
        <v>5.9</v>
      </c>
      <c r="R308" s="1" t="s">
        <v>576</v>
      </c>
      <c r="S308" s="1" t="str">
        <f>PROPER(Table3[[#This Row],[Cancer_Type]])</f>
        <v>Cervical</v>
      </c>
      <c r="T308" s="1" t="s">
        <v>591</v>
      </c>
      <c r="U308" s="4">
        <v>19221.93</v>
      </c>
      <c r="V308" s="1">
        <v>9.1999999999999993</v>
      </c>
      <c r="W308" s="1">
        <f t="shared" ca="1" si="36"/>
        <v>8</v>
      </c>
      <c r="X308" s="1">
        <v>3.11</v>
      </c>
      <c r="Y308" s="1" t="str">
        <f t="shared" si="37"/>
        <v>Stage I</v>
      </c>
      <c r="Z308" s="10">
        <f t="shared" si="38"/>
        <v>19221.93</v>
      </c>
    </row>
    <row r="309" spans="1:26">
      <c r="A309" s="1" t="s">
        <v>425</v>
      </c>
      <c r="B309" s="1">
        <v>23</v>
      </c>
      <c r="C309" s="1" t="s">
        <v>543</v>
      </c>
      <c r="D309" s="1" t="str">
        <f>PROPER(Table3[[#This Row],[Gender]])</f>
        <v>Female</v>
      </c>
      <c r="E309" s="1" t="s">
        <v>553</v>
      </c>
      <c r="F309" s="1" t="str">
        <f>PROPER(Table3[[#This Row],[Country_Region]])</f>
        <v>Canada</v>
      </c>
      <c r="G309" s="1">
        <v>2023</v>
      </c>
      <c r="H309" s="1">
        <v>1.7</v>
      </c>
      <c r="I309" s="1">
        <f>IF(H309="", AVERAGEIF('CLEANED DATASET'!$G$2:$G$532,G309,'CLEANED DATASET'!$H417),H309)</f>
        <v>1.7</v>
      </c>
      <c r="J309" s="1">
        <v>9.5</v>
      </c>
      <c r="K309" s="1">
        <f t="shared" si="33"/>
        <v>9.5</v>
      </c>
      <c r="L309" s="1">
        <v>0.5</v>
      </c>
      <c r="M309" s="1">
        <f t="shared" si="34"/>
        <v>0.5</v>
      </c>
      <c r="N309" s="1">
        <v>5.2</v>
      </c>
      <c r="O309" s="1">
        <f t="shared" si="35"/>
        <v>5.2</v>
      </c>
      <c r="P309" s="1">
        <v>4.3</v>
      </c>
      <c r="Q309" s="1">
        <f t="shared" si="39"/>
        <v>4.3</v>
      </c>
      <c r="R309" s="1" t="s">
        <v>576</v>
      </c>
      <c r="S309" s="1" t="str">
        <f>PROPER(Table3[[#This Row],[Cancer_Type]])</f>
        <v>Cervical</v>
      </c>
      <c r="T309" s="1" t="s">
        <v>590</v>
      </c>
      <c r="U309" s="4">
        <v>27933.85</v>
      </c>
      <c r="V309" s="1">
        <v>8.6999999999999993</v>
      </c>
      <c r="W309" s="1">
        <f t="shared" ca="1" si="36"/>
        <v>5</v>
      </c>
      <c r="X309" s="1">
        <v>4.75</v>
      </c>
      <c r="Y309" s="1" t="str">
        <f t="shared" si="37"/>
        <v>Stage II</v>
      </c>
      <c r="Z309" s="10">
        <f t="shared" si="38"/>
        <v>27933.85</v>
      </c>
    </row>
    <row r="310" spans="1:26">
      <c r="A310" s="1" t="s">
        <v>61</v>
      </c>
      <c r="B310" s="1">
        <v>58</v>
      </c>
      <c r="C310" s="1" t="s">
        <v>542</v>
      </c>
      <c r="D310" s="1" t="str">
        <f>PROPER(Table3[[#This Row],[Gender]])</f>
        <v>Male</v>
      </c>
      <c r="E310" s="1" t="s">
        <v>551</v>
      </c>
      <c r="F310" s="1" t="str">
        <f>PROPER(Table3[[#This Row],[Country_Region]])</f>
        <v>Germany</v>
      </c>
      <c r="G310" s="1">
        <v>2022</v>
      </c>
      <c r="H310" s="1">
        <v>1.7</v>
      </c>
      <c r="I310" s="1">
        <f>IF(H310="", AVERAGEIF('CLEANED DATASET'!$G$2:$G$532,G310,'CLEANED DATASET'!$H53),H310)</f>
        <v>1.7</v>
      </c>
      <c r="J310" s="1"/>
      <c r="K310" s="1">
        <f t="shared" si="33"/>
        <v>4.8</v>
      </c>
      <c r="L310" s="1">
        <v>3.2</v>
      </c>
      <c r="M310" s="1">
        <f t="shared" si="34"/>
        <v>3.2</v>
      </c>
      <c r="N310" s="1">
        <v>0.3</v>
      </c>
      <c r="O310" s="1">
        <f t="shared" si="35"/>
        <v>0.3</v>
      </c>
      <c r="P310" s="1">
        <v>6.1</v>
      </c>
      <c r="Q310" s="1">
        <f t="shared" si="39"/>
        <v>6.1</v>
      </c>
      <c r="R310" s="1" t="s">
        <v>578</v>
      </c>
      <c r="S310" s="1" t="str">
        <f>PROPER(Table3[[#This Row],[Cancer_Type]])</f>
        <v>Liver</v>
      </c>
      <c r="T310" s="1" t="s">
        <v>592</v>
      </c>
      <c r="U310" s="4">
        <v>87999.42</v>
      </c>
      <c r="V310" s="1">
        <v>5.9</v>
      </c>
      <c r="W310" s="1">
        <f t="shared" ca="1" si="36"/>
        <v>8</v>
      </c>
      <c r="X310" s="1">
        <v>2.0299999999999998</v>
      </c>
      <c r="Y310" s="1" t="str">
        <f t="shared" si="37"/>
        <v>Stage I</v>
      </c>
      <c r="Z310" s="10">
        <f t="shared" si="38"/>
        <v>87999.42</v>
      </c>
    </row>
    <row r="311" spans="1:26">
      <c r="A311" s="1" t="s">
        <v>53</v>
      </c>
      <c r="B311" s="1">
        <v>88</v>
      </c>
      <c r="C311" s="1" t="s">
        <v>541</v>
      </c>
      <c r="D311" s="1" t="str">
        <f>PROPER(Table3[[#This Row],[Gender]])</f>
        <v>Other</v>
      </c>
      <c r="E311" s="1" t="s">
        <v>554</v>
      </c>
      <c r="F311" s="1" t="str">
        <f>PROPER(Table3[[#This Row],[Country_Region]])</f>
        <v>Brazil</v>
      </c>
      <c r="G311" s="1">
        <v>2022</v>
      </c>
      <c r="H311" s="1">
        <v>3.2</v>
      </c>
      <c r="I311" s="1">
        <f>IF(H311="", AVERAGEIF('CLEANED DATASET'!$G$2:$G$532,G311,'CLEANED DATASET'!$H45),H311)</f>
        <v>3.2</v>
      </c>
      <c r="J311" s="1">
        <v>2</v>
      </c>
      <c r="K311" s="1">
        <f t="shared" si="33"/>
        <v>2</v>
      </c>
      <c r="L311" s="1">
        <v>4.5</v>
      </c>
      <c r="M311" s="1">
        <f t="shared" si="34"/>
        <v>4.5</v>
      </c>
      <c r="N311" s="1">
        <v>5.0999999999999996</v>
      </c>
      <c r="O311" s="1">
        <f t="shared" si="35"/>
        <v>5.0999999999999996</v>
      </c>
      <c r="P311" s="1">
        <v>9.9</v>
      </c>
      <c r="Q311" s="1">
        <f t="shared" si="39"/>
        <v>9.9</v>
      </c>
      <c r="R311" s="1" t="s">
        <v>570</v>
      </c>
      <c r="S311" s="1" t="str">
        <f>PROPER(Table3[[#This Row],[Cancer_Type]])</f>
        <v>Skin</v>
      </c>
      <c r="T311" s="1" t="s">
        <v>593</v>
      </c>
      <c r="U311" s="4"/>
      <c r="V311" s="1">
        <v>7.3</v>
      </c>
      <c r="W311" s="1">
        <f t="shared" ca="1" si="36"/>
        <v>6</v>
      </c>
      <c r="X311" s="1">
        <v>4.09</v>
      </c>
      <c r="Y311" s="1" t="str">
        <f t="shared" si="37"/>
        <v>Stage II</v>
      </c>
      <c r="Z311" s="10">
        <f t="shared" si="38"/>
        <v>53485.85</v>
      </c>
    </row>
    <row r="312" spans="1:26">
      <c r="A312" s="1" t="s">
        <v>303</v>
      </c>
      <c r="B312" s="1">
        <v>80</v>
      </c>
      <c r="C312" s="1" t="s">
        <v>542</v>
      </c>
      <c r="D312" s="1" t="str">
        <f>PROPER(Table3[[#This Row],[Gender]])</f>
        <v>Male</v>
      </c>
      <c r="E312" s="1" t="s">
        <v>551</v>
      </c>
      <c r="F312" s="1" t="str">
        <f>PROPER(Table3[[#This Row],[Country_Region]])</f>
        <v>Germany</v>
      </c>
      <c r="G312" s="1">
        <v>2023</v>
      </c>
      <c r="H312" s="1">
        <v>1.6</v>
      </c>
      <c r="I312" s="1">
        <f>IF(H312="", AVERAGEIF('CLEANED DATASET'!$G$2:$G$532,G312,'CLEANED DATASET'!$H295),H312)</f>
        <v>1.6</v>
      </c>
      <c r="J312" s="1">
        <v>1.2</v>
      </c>
      <c r="K312" s="1">
        <f t="shared" si="33"/>
        <v>1.2</v>
      </c>
      <c r="L312" s="1">
        <v>9.6999999999999993</v>
      </c>
      <c r="M312" s="1">
        <f t="shared" si="34"/>
        <v>9.6999999999999993</v>
      </c>
      <c r="N312" s="1">
        <v>7.8</v>
      </c>
      <c r="O312" s="1">
        <f t="shared" si="35"/>
        <v>7.8</v>
      </c>
      <c r="P312" s="1">
        <v>9.1</v>
      </c>
      <c r="Q312" s="1">
        <f t="shared" si="39"/>
        <v>9.1</v>
      </c>
      <c r="R312" s="1" t="s">
        <v>570</v>
      </c>
      <c r="S312" s="1" t="str">
        <f>PROPER(Table3[[#This Row],[Cancer_Type]])</f>
        <v>Skin</v>
      </c>
      <c r="T312" s="1" t="s">
        <v>590</v>
      </c>
      <c r="U312" s="4">
        <v>64187.32</v>
      </c>
      <c r="V312" s="1">
        <v>2.8</v>
      </c>
      <c r="W312" s="1">
        <f t="shared" ca="1" si="36"/>
        <v>5</v>
      </c>
      <c r="X312" s="1">
        <v>5.14</v>
      </c>
      <c r="Y312" s="1" t="str">
        <f t="shared" si="37"/>
        <v>Stage II</v>
      </c>
      <c r="Z312" s="10">
        <f t="shared" si="38"/>
        <v>64187.32</v>
      </c>
    </row>
    <row r="313" spans="1:26">
      <c r="A313" s="1" t="s">
        <v>177</v>
      </c>
      <c r="B313" s="1">
        <v>58</v>
      </c>
      <c r="C313" s="1" t="s">
        <v>542</v>
      </c>
      <c r="D313" s="1" t="str">
        <f>PROPER(Table3[[#This Row],[Gender]])</f>
        <v>Male</v>
      </c>
      <c r="E313" s="1" t="s">
        <v>549</v>
      </c>
      <c r="F313" s="1" t="str">
        <f>PROPER(Table3[[#This Row],[Country_Region]])</f>
        <v>Australia</v>
      </c>
      <c r="G313" s="1">
        <v>2023</v>
      </c>
      <c r="H313" s="1">
        <v>1.3</v>
      </c>
      <c r="I313" s="1">
        <f>IF(H313="", AVERAGEIF('CLEANED DATASET'!$G$2:$G$532,G313,'CLEANED DATASET'!$H169),H313)</f>
        <v>1.3</v>
      </c>
      <c r="J313" s="1">
        <v>8.6</v>
      </c>
      <c r="K313" s="1">
        <f t="shared" si="33"/>
        <v>8.6</v>
      </c>
      <c r="L313" s="1">
        <v>9.8000000000000007</v>
      </c>
      <c r="M313" s="1">
        <f t="shared" si="34"/>
        <v>9.8000000000000007</v>
      </c>
      <c r="N313" s="1">
        <v>6.6</v>
      </c>
      <c r="O313" s="1">
        <f t="shared" si="35"/>
        <v>6.6</v>
      </c>
      <c r="P313" s="1">
        <v>3</v>
      </c>
      <c r="Q313" s="1">
        <f t="shared" si="39"/>
        <v>3</v>
      </c>
      <c r="R313" s="1" t="s">
        <v>582</v>
      </c>
      <c r="S313" s="1" t="str">
        <f>PROPER(Table3[[#This Row],[Cancer_Type]])</f>
        <v>Lung</v>
      </c>
      <c r="T313" s="1" t="s">
        <v>591</v>
      </c>
      <c r="U313" s="4">
        <v>80716.69</v>
      </c>
      <c r="V313" s="1">
        <v>1.3</v>
      </c>
      <c r="W313" s="1">
        <f t="shared" ca="1" si="36"/>
        <v>5</v>
      </c>
      <c r="X313" s="1">
        <v>5.03</v>
      </c>
      <c r="Y313" s="1" t="str">
        <f t="shared" si="37"/>
        <v>Stage II</v>
      </c>
      <c r="Z313" s="10">
        <f t="shared" si="38"/>
        <v>80716.69</v>
      </c>
    </row>
    <row r="314" spans="1:26">
      <c r="A314" s="1" t="s">
        <v>89</v>
      </c>
      <c r="B314" s="1">
        <v>72</v>
      </c>
      <c r="C314" s="1" t="s">
        <v>541</v>
      </c>
      <c r="D314" s="1" t="str">
        <f>PROPER(Table3[[#This Row],[Gender]])</f>
        <v>Other</v>
      </c>
      <c r="E314" s="1" t="s">
        <v>553</v>
      </c>
      <c r="F314" s="1" t="str">
        <f>PROPER(Table3[[#This Row],[Country_Region]])</f>
        <v>Canada</v>
      </c>
      <c r="G314" s="1">
        <v>2023</v>
      </c>
      <c r="H314" s="1">
        <v>6.8</v>
      </c>
      <c r="I314" s="1">
        <f>IF(H314="", AVERAGEIF('CLEANED DATASET'!$G$2:$G$532,G314,'CLEANED DATASET'!$H81),H314)</f>
        <v>6.8</v>
      </c>
      <c r="J314" s="1">
        <v>5.4</v>
      </c>
      <c r="K314" s="1">
        <f t="shared" si="33"/>
        <v>5.4</v>
      </c>
      <c r="L314" s="1">
        <v>8.8000000000000007</v>
      </c>
      <c r="M314" s="1">
        <f t="shared" si="34"/>
        <v>8.8000000000000007</v>
      </c>
      <c r="N314" s="1">
        <v>4.5</v>
      </c>
      <c r="O314" s="1">
        <f t="shared" si="35"/>
        <v>4.5</v>
      </c>
      <c r="P314" s="1"/>
      <c r="Q314" s="3">
        <f t="shared" si="39"/>
        <v>4.4600000000000009</v>
      </c>
      <c r="R314" s="1" t="s">
        <v>579</v>
      </c>
      <c r="S314" s="1" t="str">
        <f>PROPER(Table3[[#This Row],[Cancer_Type]])</f>
        <v>Prostate</v>
      </c>
      <c r="T314" s="1" t="s">
        <v>593</v>
      </c>
      <c r="U314" s="4">
        <v>90585.78</v>
      </c>
      <c r="V314" s="1">
        <v>9.6999999999999993</v>
      </c>
      <c r="W314" s="1">
        <f t="shared" ca="1" si="36"/>
        <v>5</v>
      </c>
      <c r="X314" s="1">
        <v>5.52</v>
      </c>
      <c r="Y314" s="1" t="str">
        <f t="shared" si="37"/>
        <v>Stage II</v>
      </c>
      <c r="Z314" s="10">
        <f t="shared" si="38"/>
        <v>90585.78</v>
      </c>
    </row>
    <row r="315" spans="1:26">
      <c r="A315" s="1" t="s">
        <v>116</v>
      </c>
      <c r="B315" s="1">
        <v>37</v>
      </c>
      <c r="C315" s="1" t="s">
        <v>546</v>
      </c>
      <c r="D315" s="1" t="str">
        <f>PROPER(Table3[[#This Row],[Gender]])</f>
        <v>Unknown</v>
      </c>
      <c r="E315" s="1" t="s">
        <v>549</v>
      </c>
      <c r="F315" s="1" t="str">
        <f>PROPER(Table3[[#This Row],[Country_Region]])</f>
        <v>Australia</v>
      </c>
      <c r="G315" s="1">
        <v>2024</v>
      </c>
      <c r="H315" s="1">
        <v>5.0999999999999996</v>
      </c>
      <c r="I315" s="1">
        <f>IF(H315="", AVERAGEIF('CLEANED DATASET'!$G$2:$G$532,G315,'CLEANED DATASET'!$H108),H315)</f>
        <v>5.0999999999999996</v>
      </c>
      <c r="J315" s="1">
        <v>8.4</v>
      </c>
      <c r="K315" s="1">
        <f t="shared" si="33"/>
        <v>8.4</v>
      </c>
      <c r="L315" s="1">
        <v>9.6999999999999993</v>
      </c>
      <c r="M315" s="1">
        <f t="shared" si="34"/>
        <v>9.6999999999999993</v>
      </c>
      <c r="N315" s="1">
        <v>8</v>
      </c>
      <c r="O315" s="1">
        <f t="shared" si="35"/>
        <v>8</v>
      </c>
      <c r="P315" s="1">
        <v>4.8</v>
      </c>
      <c r="Q315" s="1">
        <f t="shared" si="39"/>
        <v>4.8</v>
      </c>
      <c r="R315" s="1" t="s">
        <v>579</v>
      </c>
      <c r="S315" s="1" t="str">
        <f>PROPER(Table3[[#This Row],[Cancer_Type]])</f>
        <v>Prostate</v>
      </c>
      <c r="T315" s="1"/>
      <c r="U315" s="4"/>
      <c r="V315" s="1">
        <v>2.2000000000000002</v>
      </c>
      <c r="W315" s="1">
        <f t="shared" ca="1" si="36"/>
        <v>3</v>
      </c>
      <c r="X315" s="1">
        <v>6.76</v>
      </c>
      <c r="Y315" s="1" t="str">
        <f t="shared" si="37"/>
        <v>Stage III</v>
      </c>
      <c r="Z315" s="10">
        <f t="shared" si="38"/>
        <v>51133.24</v>
      </c>
    </row>
    <row r="316" spans="1:26">
      <c r="A316" s="1" t="s">
        <v>102</v>
      </c>
      <c r="B316" s="1">
        <v>77</v>
      </c>
      <c r="C316" s="1" t="s">
        <v>541</v>
      </c>
      <c r="D316" s="1" t="str">
        <f>PROPER(Table3[[#This Row],[Gender]])</f>
        <v>Other</v>
      </c>
      <c r="E316" s="1" t="s">
        <v>548</v>
      </c>
      <c r="F316" s="1" t="str">
        <f>PROPER(Table3[[#This Row],[Country_Region]])</f>
        <v>Uk</v>
      </c>
      <c r="G316" s="1">
        <v>2022</v>
      </c>
      <c r="H316" s="1"/>
      <c r="I316" s="3">
        <f ca="1">IF(H316="", AVERAGEIF('CLEANED DATASET'!$G$2:$G$532,G316,'CLEANED DATASET'!$H94),H316)</f>
        <v>5.5972602739726005</v>
      </c>
      <c r="J316" s="1">
        <v>1.6</v>
      </c>
      <c r="K316" s="1">
        <f t="shared" si="33"/>
        <v>1.6</v>
      </c>
      <c r="L316" s="1">
        <v>5.3</v>
      </c>
      <c r="M316" s="1">
        <f t="shared" si="34"/>
        <v>5.3</v>
      </c>
      <c r="N316" s="1">
        <v>8.9</v>
      </c>
      <c r="O316" s="1">
        <f t="shared" si="35"/>
        <v>8.9</v>
      </c>
      <c r="P316" s="1">
        <v>0.7</v>
      </c>
      <c r="Q316" s="1">
        <f t="shared" si="39"/>
        <v>0.7</v>
      </c>
      <c r="R316" s="1" t="s">
        <v>546</v>
      </c>
      <c r="S316" s="1" t="str">
        <f>PROPER(Table3[[#This Row],[Cancer_Type]])</f>
        <v>Unknown</v>
      </c>
      <c r="T316" s="1"/>
      <c r="U316" s="4"/>
      <c r="V316" s="1">
        <v>6.1</v>
      </c>
      <c r="W316" s="1">
        <f t="shared" ca="1" si="36"/>
        <v>5</v>
      </c>
      <c r="X316" s="1">
        <v>4.2300000000000004</v>
      </c>
      <c r="Y316" s="1" t="str">
        <f t="shared" si="37"/>
        <v>Stage II</v>
      </c>
      <c r="Z316" s="10">
        <f t="shared" si="38"/>
        <v>38966.050000000003</v>
      </c>
    </row>
    <row r="317" spans="1:26">
      <c r="A317" s="1" t="s">
        <v>380</v>
      </c>
      <c r="B317" s="1">
        <v>86</v>
      </c>
      <c r="C317" s="1" t="s">
        <v>546</v>
      </c>
      <c r="D317" s="1" t="str">
        <f>PROPER(Table3[[#This Row],[Gender]])</f>
        <v>Unknown</v>
      </c>
      <c r="E317" s="1" t="s">
        <v>560</v>
      </c>
      <c r="F317" s="1" t="str">
        <f>PROPER(Table3[[#This Row],[Country_Region]])</f>
        <v>Usa</v>
      </c>
      <c r="G317" s="1">
        <v>2023</v>
      </c>
      <c r="H317" s="1">
        <v>3.7</v>
      </c>
      <c r="I317" s="1">
        <f>IF(H317="", AVERAGEIF('CLEANED DATASET'!$G$2:$G$532,G317,'CLEANED DATASET'!$H372),H317)</f>
        <v>3.7</v>
      </c>
      <c r="J317" s="1">
        <v>2.2999999999999998</v>
      </c>
      <c r="K317" s="1">
        <f t="shared" si="33"/>
        <v>2.2999999999999998</v>
      </c>
      <c r="L317" s="1">
        <v>5.8</v>
      </c>
      <c r="M317" s="1">
        <f t="shared" si="34"/>
        <v>5.8</v>
      </c>
      <c r="N317" s="1">
        <v>1.5</v>
      </c>
      <c r="O317" s="1">
        <f t="shared" si="35"/>
        <v>1.5</v>
      </c>
      <c r="P317" s="1">
        <v>1.2</v>
      </c>
      <c r="Q317" s="1">
        <f t="shared" si="39"/>
        <v>1.2</v>
      </c>
      <c r="R317" s="1" t="s">
        <v>578</v>
      </c>
      <c r="S317" s="1" t="str">
        <f>PROPER(Table3[[#This Row],[Cancer_Type]])</f>
        <v>Liver</v>
      </c>
      <c r="T317" s="1" t="s">
        <v>591</v>
      </c>
      <c r="U317" s="4">
        <v>50549.34</v>
      </c>
      <c r="V317" s="1">
        <v>2.2999999999999998</v>
      </c>
      <c r="W317" s="1">
        <f t="shared" ca="1" si="36"/>
        <v>7</v>
      </c>
      <c r="X317" s="1">
        <v>3.36</v>
      </c>
      <c r="Y317" s="1" t="str">
        <f t="shared" si="37"/>
        <v>Stage I</v>
      </c>
      <c r="Z317" s="10">
        <f t="shared" si="38"/>
        <v>50549.34</v>
      </c>
    </row>
    <row r="318" spans="1:26">
      <c r="A318" s="1" t="s">
        <v>503</v>
      </c>
      <c r="B318" s="1">
        <v>52</v>
      </c>
      <c r="C318" s="1" t="s">
        <v>542</v>
      </c>
      <c r="D318" s="1" t="str">
        <f>PROPER(Table3[[#This Row],[Gender]])</f>
        <v>Male</v>
      </c>
      <c r="E318" s="1" t="s">
        <v>550</v>
      </c>
      <c r="F318" s="1" t="str">
        <f>PROPER(Table3[[#This Row],[Country_Region]])</f>
        <v>Pakistan</v>
      </c>
      <c r="G318" s="1">
        <v>2023</v>
      </c>
      <c r="H318" s="1">
        <v>1.6</v>
      </c>
      <c r="I318" s="1">
        <f>IF(H318="", AVERAGEIF('CLEANED DATASET'!$G$2:$G$532,G318,'CLEANED DATASET'!$H495),H318)</f>
        <v>1.6</v>
      </c>
      <c r="J318" s="1">
        <v>3.2</v>
      </c>
      <c r="K318" s="1">
        <f t="shared" si="33"/>
        <v>3.2</v>
      </c>
      <c r="L318" s="1">
        <v>6.1</v>
      </c>
      <c r="M318" s="1">
        <f t="shared" si="34"/>
        <v>6.1</v>
      </c>
      <c r="N318" s="1">
        <v>6.5</v>
      </c>
      <c r="O318" s="1">
        <f t="shared" si="35"/>
        <v>6.5</v>
      </c>
      <c r="P318" s="1">
        <v>8.4</v>
      </c>
      <c r="Q318" s="1">
        <f t="shared" si="39"/>
        <v>8.4</v>
      </c>
      <c r="R318" s="1" t="s">
        <v>570</v>
      </c>
      <c r="S318" s="1" t="str">
        <f>PROPER(Table3[[#This Row],[Cancer_Type]])</f>
        <v>Skin</v>
      </c>
      <c r="T318" s="1" t="s">
        <v>592</v>
      </c>
      <c r="U318" s="8">
        <v>79432.58</v>
      </c>
      <c r="V318" s="1">
        <v>5.9</v>
      </c>
      <c r="W318" s="1">
        <f t="shared" ca="1" si="36"/>
        <v>6</v>
      </c>
      <c r="X318" s="1">
        <v>4.2699999999999996</v>
      </c>
      <c r="Y318" s="1" t="str">
        <f t="shared" si="37"/>
        <v>Stage II</v>
      </c>
      <c r="Z318" s="10">
        <f t="shared" si="38"/>
        <v>79432.58</v>
      </c>
    </row>
    <row r="319" spans="1:26">
      <c r="A319" s="1" t="s">
        <v>399</v>
      </c>
      <c r="B319" s="1">
        <v>75</v>
      </c>
      <c r="C319" s="1" t="s">
        <v>541</v>
      </c>
      <c r="D319" s="1" t="str">
        <f>PROPER(Table3[[#This Row],[Gender]])</f>
        <v>Other</v>
      </c>
      <c r="E319" s="1" t="s">
        <v>555</v>
      </c>
      <c r="F319" s="1" t="str">
        <f>PROPER(Table3[[#This Row],[Country_Region]])</f>
        <v>Russia</v>
      </c>
      <c r="G319" s="1">
        <v>2022</v>
      </c>
      <c r="H319" s="1">
        <v>6.4</v>
      </c>
      <c r="I319" s="1">
        <f>IF(H319="", AVERAGEIF('CLEANED DATASET'!$G$2:$G$532,G319,'CLEANED DATASET'!$H391),H319)</f>
        <v>6.4</v>
      </c>
      <c r="J319" s="1">
        <v>0.6</v>
      </c>
      <c r="K319" s="1">
        <f t="shared" si="33"/>
        <v>0.6</v>
      </c>
      <c r="L319" s="1"/>
      <c r="M319" s="3">
        <f t="shared" si="34"/>
        <v>5.1065573770491817</v>
      </c>
      <c r="N319" s="1">
        <v>4.9000000000000004</v>
      </c>
      <c r="O319" s="1">
        <f t="shared" si="35"/>
        <v>4.9000000000000004</v>
      </c>
      <c r="P319" s="1"/>
      <c r="Q319" s="1">
        <f t="shared" si="39"/>
        <v>5.4312500000000012</v>
      </c>
      <c r="R319" s="1" t="s">
        <v>572</v>
      </c>
      <c r="S319" s="1" t="str">
        <f>PROPER(Table3[[#This Row],[Cancer_Type]])</f>
        <v>Leukemia</v>
      </c>
      <c r="T319" s="1" t="s">
        <v>594</v>
      </c>
      <c r="U319" s="4">
        <v>8917.57</v>
      </c>
      <c r="V319" s="1">
        <v>8.1</v>
      </c>
      <c r="W319" s="1">
        <f t="shared" ca="1" si="36"/>
        <v>3</v>
      </c>
      <c r="X319" s="1">
        <v>6.59</v>
      </c>
      <c r="Y319" s="1" t="str">
        <f t="shared" si="37"/>
        <v>Stage III</v>
      </c>
      <c r="Z319" s="10">
        <f t="shared" si="38"/>
        <v>8917.57</v>
      </c>
    </row>
    <row r="320" spans="1:26">
      <c r="A320" s="1" t="s">
        <v>123</v>
      </c>
      <c r="B320" s="1">
        <v>74</v>
      </c>
      <c r="C320" s="1" t="s">
        <v>542</v>
      </c>
      <c r="D320" s="1" t="str">
        <f>PROPER(Table3[[#This Row],[Gender]])</f>
        <v>Male</v>
      </c>
      <c r="E320" s="1" t="s">
        <v>549</v>
      </c>
      <c r="F320" s="1" t="str">
        <f>PROPER(Table3[[#This Row],[Country_Region]])</f>
        <v>Australia</v>
      </c>
      <c r="G320" s="1">
        <v>2023</v>
      </c>
      <c r="H320" s="1">
        <v>10</v>
      </c>
      <c r="I320" s="1">
        <f>IF(H320="", AVERAGEIF('CLEANED DATASET'!$G$2:$G$532,G320,'CLEANED DATASET'!$H115),H320)</f>
        <v>10</v>
      </c>
      <c r="J320" s="1">
        <v>9.1</v>
      </c>
      <c r="K320" s="1">
        <f t="shared" si="33"/>
        <v>9.1</v>
      </c>
      <c r="L320" s="1">
        <v>5.6</v>
      </c>
      <c r="M320" s="1">
        <f t="shared" si="34"/>
        <v>5.6</v>
      </c>
      <c r="N320" s="1">
        <v>0.4</v>
      </c>
      <c r="O320" s="1">
        <f t="shared" si="35"/>
        <v>0.4</v>
      </c>
      <c r="P320" s="1">
        <v>1.3</v>
      </c>
      <c r="Q320" s="1">
        <f t="shared" si="39"/>
        <v>1.3</v>
      </c>
      <c r="R320" s="1" t="s">
        <v>579</v>
      </c>
      <c r="S320" s="1" t="str">
        <f>PROPER(Table3[[#This Row],[Cancer_Type]])</f>
        <v>Prostate</v>
      </c>
      <c r="T320" s="1" t="s">
        <v>593</v>
      </c>
      <c r="U320" s="4">
        <v>11654.44</v>
      </c>
      <c r="V320" s="1">
        <v>2.4</v>
      </c>
      <c r="W320" s="1">
        <f t="shared" ca="1" si="36"/>
        <v>3</v>
      </c>
      <c r="X320" s="1">
        <v>6.18</v>
      </c>
      <c r="Y320" s="1" t="str">
        <f t="shared" si="37"/>
        <v>Stage III</v>
      </c>
      <c r="Z320" s="10">
        <f t="shared" si="38"/>
        <v>11654.44</v>
      </c>
    </row>
    <row r="321" spans="1:26">
      <c r="A321" s="1" t="s">
        <v>416</v>
      </c>
      <c r="B321" s="1">
        <v>75</v>
      </c>
      <c r="C321" s="1" t="s">
        <v>541</v>
      </c>
      <c r="D321" s="1" t="str">
        <f>PROPER(Table3[[#This Row],[Gender]])</f>
        <v>Other</v>
      </c>
      <c r="E321" s="1" t="s">
        <v>553</v>
      </c>
      <c r="F321" s="1" t="str">
        <f>PROPER(Table3[[#This Row],[Country_Region]])</f>
        <v>Canada</v>
      </c>
      <c r="G321" s="1">
        <v>2024</v>
      </c>
      <c r="H321" s="1">
        <v>8.1</v>
      </c>
      <c r="I321" s="1">
        <f>IF(H321="", AVERAGEIF('CLEANED DATASET'!$G$2:$G$532,G321,'CLEANED DATASET'!$H408),H321)</f>
        <v>8.1</v>
      </c>
      <c r="J321" s="1">
        <v>5.8</v>
      </c>
      <c r="K321" s="1">
        <f t="shared" si="33"/>
        <v>5.8</v>
      </c>
      <c r="L321" s="1">
        <v>2.6</v>
      </c>
      <c r="M321" s="1">
        <f t="shared" si="34"/>
        <v>2.6</v>
      </c>
      <c r="N321" s="1">
        <v>5.0999999999999996</v>
      </c>
      <c r="O321" s="1">
        <f t="shared" si="35"/>
        <v>5.0999999999999996</v>
      </c>
      <c r="P321" s="1">
        <v>0.7</v>
      </c>
      <c r="Q321" s="1">
        <f t="shared" si="39"/>
        <v>0.7</v>
      </c>
      <c r="R321" s="1" t="s">
        <v>571</v>
      </c>
      <c r="S321" s="1" t="str">
        <f>PROPER(Table3[[#This Row],[Cancer_Type]])</f>
        <v>Lung</v>
      </c>
      <c r="T321" s="1" t="s">
        <v>591</v>
      </c>
      <c r="U321" s="4">
        <v>49998.31</v>
      </c>
      <c r="V321" s="1">
        <v>4.5</v>
      </c>
      <c r="W321" s="1">
        <f t="shared" ca="1" si="36"/>
        <v>6</v>
      </c>
      <c r="X321" s="1">
        <v>4.97</v>
      </c>
      <c r="Y321" s="1" t="str">
        <f t="shared" si="37"/>
        <v>Stage II</v>
      </c>
      <c r="Z321" s="10">
        <f t="shared" si="38"/>
        <v>49998.31</v>
      </c>
    </row>
    <row r="322" spans="1:26">
      <c r="A322" s="1" t="s">
        <v>42</v>
      </c>
      <c r="B322" s="1">
        <v>57</v>
      </c>
      <c r="C322" s="1" t="s">
        <v>543</v>
      </c>
      <c r="D322" s="1" t="str">
        <f>PROPER(Table3[[#This Row],[Gender]])</f>
        <v>Female</v>
      </c>
      <c r="E322" s="1" t="s">
        <v>632</v>
      </c>
      <c r="F322" s="1" t="str">
        <f>PROPER(Table3[[#This Row],[Country_Region]])</f>
        <v>Germany</v>
      </c>
      <c r="G322" s="1">
        <v>2023</v>
      </c>
      <c r="H322" s="1">
        <v>7.4</v>
      </c>
      <c r="I322" s="1">
        <f>IF(H322="", AVERAGEIF('CLEANED DATASET'!$G$2:$G$532,G322,'CLEANED DATASET'!$H34),H322)</f>
        <v>7.4</v>
      </c>
      <c r="J322" s="1">
        <v>9</v>
      </c>
      <c r="K322" s="1">
        <f t="shared" ref="K322:K385" si="40">IF(J322="",ROUND(AVERAGEIF(G326:G852,G322,J322:J852),1),J322)</f>
        <v>9</v>
      </c>
      <c r="L322" s="1">
        <v>8.6999999999999993</v>
      </c>
      <c r="M322" s="1">
        <f t="shared" ref="M322:M385" si="41">IF(L322="", AVERAGEIF(G322:G852, G322,L322:L852),L322)</f>
        <v>8.6999999999999993</v>
      </c>
      <c r="N322" s="1">
        <v>0.6</v>
      </c>
      <c r="O322" s="1">
        <f t="shared" ref="O322:O385" si="42">IF(N322="",AVERAGEIF(G322:G852,G322,N322:N852),N322)</f>
        <v>0.6</v>
      </c>
      <c r="P322" s="1">
        <v>4.9000000000000004</v>
      </c>
      <c r="Q322" s="1">
        <f t="shared" si="39"/>
        <v>4.9000000000000004</v>
      </c>
      <c r="R322" s="1" t="s">
        <v>573</v>
      </c>
      <c r="S322" s="1" t="str">
        <f>PROPER(Table3[[#This Row],[Cancer_Type]])</f>
        <v>Breast</v>
      </c>
      <c r="T322" s="1" t="s">
        <v>592</v>
      </c>
      <c r="U322" s="4">
        <v>8020.23</v>
      </c>
      <c r="V322" s="1">
        <v>5.2</v>
      </c>
      <c r="W322" s="1">
        <f t="shared" ref="W322:W385" ca="1" si="43">IF(Y322="Stage 0",RANDBETWEEN(9,10),
IF(Y322="Stage I",RANDBETWEEN(7,8),
IF(Y322="Stage II",RANDBETWEEN(5,6),
IF(Y322="Stage III",RANDBETWEEN(3,4),
IF(Y322="Stage IV",RANDBETWEEN(1,2),"")))))</f>
        <v>3</v>
      </c>
      <c r="X322" s="1">
        <v>6.58</v>
      </c>
      <c r="Y322" s="1" t="str">
        <f t="shared" ref="Y322:Y385" si="44">IF(X322&lt;=2,"Stage 0",IF(X322&lt;=4,"Stage I",IF(X322&lt;=6,"Stage II",IF(X322&lt;=8,"Stage III", "Stage IV"))))</f>
        <v>Stage III</v>
      </c>
      <c r="Z322" s="10">
        <f t="shared" si="38"/>
        <v>8020.23</v>
      </c>
    </row>
    <row r="323" spans="1:26">
      <c r="A323" s="1" t="s">
        <v>346</v>
      </c>
      <c r="B323" s="1">
        <v>45</v>
      </c>
      <c r="C323" s="1" t="s">
        <v>543</v>
      </c>
      <c r="D323" s="1" t="str">
        <f>PROPER(Table3[[#This Row],[Gender]])</f>
        <v>Female</v>
      </c>
      <c r="E323" s="1" t="s">
        <v>551</v>
      </c>
      <c r="F323" s="1" t="str">
        <f>PROPER(Table3[[#This Row],[Country_Region]])</f>
        <v>Germany</v>
      </c>
      <c r="G323" s="1">
        <v>2024</v>
      </c>
      <c r="H323" s="1">
        <v>2.4</v>
      </c>
      <c r="I323" s="1">
        <f>IF(H323="", AVERAGEIF('CLEANED DATASET'!$G$2:$G$532,G323,'CLEANED DATASET'!$H338),H323)</f>
        <v>2.4</v>
      </c>
      <c r="J323" s="1">
        <v>5.8</v>
      </c>
      <c r="K323" s="1">
        <f t="shared" si="40"/>
        <v>5.8</v>
      </c>
      <c r="L323" s="1">
        <v>6.2</v>
      </c>
      <c r="M323" s="1">
        <f t="shared" si="41"/>
        <v>6.2</v>
      </c>
      <c r="N323" s="1">
        <v>0.9</v>
      </c>
      <c r="O323" s="1">
        <f t="shared" si="42"/>
        <v>0.9</v>
      </c>
      <c r="P323" s="1">
        <v>7.9</v>
      </c>
      <c r="Q323" s="1">
        <f t="shared" si="39"/>
        <v>7.9</v>
      </c>
      <c r="R323" s="1" t="s">
        <v>578</v>
      </c>
      <c r="S323" s="1" t="str">
        <f>PROPER(Table3[[#This Row],[Cancer_Type]])</f>
        <v>Liver</v>
      </c>
      <c r="T323" s="1" t="s">
        <v>594</v>
      </c>
      <c r="U323" s="4">
        <v>85437.59</v>
      </c>
      <c r="V323" s="1">
        <v>4.5</v>
      </c>
      <c r="W323" s="1">
        <f t="shared" ca="1" si="43"/>
        <v>8</v>
      </c>
      <c r="X323" s="1">
        <v>3.54</v>
      </c>
      <c r="Y323" s="1" t="str">
        <f t="shared" si="44"/>
        <v>Stage I</v>
      </c>
      <c r="Z323" s="10">
        <f t="shared" si="38"/>
        <v>85437.59</v>
      </c>
    </row>
    <row r="324" spans="1:26">
      <c r="A324" s="1" t="s">
        <v>264</v>
      </c>
      <c r="B324" s="1">
        <v>41</v>
      </c>
      <c r="C324" s="1" t="s">
        <v>542</v>
      </c>
      <c r="D324" s="1" t="str">
        <f>PROPER(Table3[[#This Row],[Gender]])</f>
        <v>Male</v>
      </c>
      <c r="E324" s="1" t="s">
        <v>549</v>
      </c>
      <c r="F324" s="1" t="str">
        <f>PROPER(Table3[[#This Row],[Country_Region]])</f>
        <v>Australia</v>
      </c>
      <c r="G324" s="1">
        <v>2023</v>
      </c>
      <c r="H324" s="1">
        <v>1.8</v>
      </c>
      <c r="I324" s="1">
        <f>IF(H324="", AVERAGEIF('CLEANED DATASET'!$G$2:$G$532,G324,'CLEANED DATASET'!$H256),H324)</f>
        <v>1.8</v>
      </c>
      <c r="J324" s="1">
        <v>3.5</v>
      </c>
      <c r="K324" s="1">
        <f t="shared" si="40"/>
        <v>3.5</v>
      </c>
      <c r="L324" s="1">
        <v>4.5</v>
      </c>
      <c r="M324" s="1">
        <f t="shared" si="41"/>
        <v>4.5</v>
      </c>
      <c r="N324" s="1">
        <v>9</v>
      </c>
      <c r="O324" s="1">
        <f t="shared" si="42"/>
        <v>9</v>
      </c>
      <c r="P324" s="1">
        <v>5.7</v>
      </c>
      <c r="Q324" s="1">
        <f t="shared" si="39"/>
        <v>5.7</v>
      </c>
      <c r="R324" s="1" t="s">
        <v>574</v>
      </c>
      <c r="S324" s="1" t="str">
        <f>PROPER(Table3[[#This Row],[Cancer_Type]])</f>
        <v>Colon</v>
      </c>
      <c r="T324" s="1" t="s">
        <v>593</v>
      </c>
      <c r="U324" s="4">
        <v>99313.48</v>
      </c>
      <c r="V324" s="1">
        <v>1.8</v>
      </c>
      <c r="W324" s="1">
        <f t="shared" ca="1" si="43"/>
        <v>8</v>
      </c>
      <c r="X324" s="1">
        <v>3.94</v>
      </c>
      <c r="Y324" s="1" t="str">
        <f t="shared" si="44"/>
        <v>Stage I</v>
      </c>
      <c r="Z324" s="10">
        <f t="shared" si="38"/>
        <v>99313.48</v>
      </c>
    </row>
    <row r="325" spans="1:26">
      <c r="A325" s="1" t="s">
        <v>509</v>
      </c>
      <c r="B325" s="1">
        <v>61</v>
      </c>
      <c r="C325" s="1" t="s">
        <v>543</v>
      </c>
      <c r="D325" s="1" t="str">
        <f>PROPER(Table3[[#This Row],[Gender]])</f>
        <v>Female</v>
      </c>
      <c r="E325" s="1" t="s">
        <v>561</v>
      </c>
      <c r="F325" s="1" t="str">
        <f>PROPER(Table3[[#This Row],[Country_Region]])</f>
        <v>Australia</v>
      </c>
      <c r="G325" s="1">
        <v>2022</v>
      </c>
      <c r="H325" s="1"/>
      <c r="I325" s="3">
        <f ca="1">IF(H325="", AVERAGEIF('CLEANED DATASET'!$G$2:$G$532,G325,'CLEANED DATASET'!$H501),H325)</f>
        <v>5</v>
      </c>
      <c r="J325" s="1">
        <v>1.2</v>
      </c>
      <c r="K325" s="1">
        <f t="shared" si="40"/>
        <v>1.2</v>
      </c>
      <c r="L325" s="1">
        <v>3.8</v>
      </c>
      <c r="M325" s="1">
        <f t="shared" si="41"/>
        <v>3.8</v>
      </c>
      <c r="N325" s="1">
        <v>1.3</v>
      </c>
      <c r="O325" s="1">
        <f t="shared" si="42"/>
        <v>1.3</v>
      </c>
      <c r="P325" s="1">
        <v>9.8000000000000007</v>
      </c>
      <c r="Q325" s="1">
        <f t="shared" si="39"/>
        <v>9.8000000000000007</v>
      </c>
      <c r="R325" s="1" t="s">
        <v>571</v>
      </c>
      <c r="S325" s="1" t="str">
        <f>PROPER(Table3[[#This Row],[Cancer_Type]])</f>
        <v>Lung</v>
      </c>
      <c r="T325" s="1" t="s">
        <v>590</v>
      </c>
      <c r="U325" s="4">
        <v>78171.55</v>
      </c>
      <c r="V325" s="1">
        <v>9.3000000000000007</v>
      </c>
      <c r="W325" s="1">
        <f t="shared" ca="1" si="43"/>
        <v>8</v>
      </c>
      <c r="X325" s="1">
        <v>2.61</v>
      </c>
      <c r="Y325" s="1" t="str">
        <f t="shared" si="44"/>
        <v>Stage I</v>
      </c>
      <c r="Z325" s="10">
        <f t="shared" si="38"/>
        <v>78171.55</v>
      </c>
    </row>
    <row r="326" spans="1:26">
      <c r="A326" s="1" t="s">
        <v>15</v>
      </c>
      <c r="B326" s="1">
        <v>65</v>
      </c>
      <c r="C326" s="1" t="s">
        <v>542</v>
      </c>
      <c r="D326" s="1" t="str">
        <f>PROPER(Table3[[#This Row],[Gender]])</f>
        <v>Male</v>
      </c>
      <c r="E326" s="1" t="s">
        <v>550</v>
      </c>
      <c r="F326" s="1" t="str">
        <f>PROPER(Table3[[#This Row],[Country_Region]])</f>
        <v>Pakistan</v>
      </c>
      <c r="G326" s="1">
        <v>2024</v>
      </c>
      <c r="H326" s="1">
        <v>3</v>
      </c>
      <c r="I326" s="1">
        <f>IF(H326="", AVERAGEIF('CLEANED DATASET'!$G$2:$G$532,G326,'CLEANED DATASET'!$H7),H326)</f>
        <v>3</v>
      </c>
      <c r="J326" s="1">
        <v>5</v>
      </c>
      <c r="K326" s="1">
        <f t="shared" si="40"/>
        <v>5</v>
      </c>
      <c r="L326" s="1">
        <v>8.8000000000000007</v>
      </c>
      <c r="M326" s="1">
        <f t="shared" si="41"/>
        <v>8.8000000000000007</v>
      </c>
      <c r="N326" s="1">
        <v>1.3</v>
      </c>
      <c r="O326" s="1">
        <f t="shared" si="42"/>
        <v>1.3</v>
      </c>
      <c r="P326" s="1">
        <v>9.3000000000000007</v>
      </c>
      <c r="Q326" s="1">
        <f t="shared" si="39"/>
        <v>9.3000000000000007</v>
      </c>
      <c r="R326" s="1" t="s">
        <v>570</v>
      </c>
      <c r="S326" s="1" t="str">
        <f>PROPER(Table3[[#This Row],[Cancer_Type]])</f>
        <v>Skin</v>
      </c>
      <c r="T326" s="1" t="s">
        <v>593</v>
      </c>
      <c r="U326" s="4">
        <v>29099.39</v>
      </c>
      <c r="V326" s="1">
        <v>8.3000000000000007</v>
      </c>
      <c r="W326" s="1">
        <f t="shared" ca="1" si="43"/>
        <v>5</v>
      </c>
      <c r="X326" s="1">
        <v>5.28</v>
      </c>
      <c r="Y326" s="1" t="str">
        <f t="shared" si="44"/>
        <v>Stage II</v>
      </c>
      <c r="Z326" s="10">
        <f t="shared" si="38"/>
        <v>29099.39</v>
      </c>
    </row>
    <row r="327" spans="1:26">
      <c r="A327" s="1" t="s">
        <v>147</v>
      </c>
      <c r="B327" s="1">
        <v>87</v>
      </c>
      <c r="C327" s="1" t="s">
        <v>546</v>
      </c>
      <c r="D327" s="1" t="str">
        <f>PROPER(Table3[[#This Row],[Gender]])</f>
        <v>Unknown</v>
      </c>
      <c r="E327" s="1" t="s">
        <v>551</v>
      </c>
      <c r="F327" s="1" t="str">
        <f>PROPER(Table3[[#This Row],[Country_Region]])</f>
        <v>Germany</v>
      </c>
      <c r="G327" s="1">
        <v>2023</v>
      </c>
      <c r="H327" s="1">
        <v>5.9</v>
      </c>
      <c r="I327" s="1">
        <f>IF(H327="", AVERAGEIF('CLEANED DATASET'!$G$2:$G$532,G327,'CLEANED DATASET'!$H139),H327)</f>
        <v>5.9</v>
      </c>
      <c r="J327" s="1">
        <v>0.3</v>
      </c>
      <c r="K327" s="1">
        <f t="shared" si="40"/>
        <v>0.3</v>
      </c>
      <c r="L327" s="1">
        <v>6.7</v>
      </c>
      <c r="M327" s="1">
        <f t="shared" si="41"/>
        <v>6.7</v>
      </c>
      <c r="N327" s="1">
        <v>1.6</v>
      </c>
      <c r="O327" s="1">
        <f t="shared" si="42"/>
        <v>1.6</v>
      </c>
      <c r="P327" s="1">
        <v>6.1</v>
      </c>
      <c r="Q327" s="1">
        <f t="shared" si="39"/>
        <v>6.1</v>
      </c>
      <c r="R327" s="1" t="s">
        <v>579</v>
      </c>
      <c r="S327" s="1" t="str">
        <f>PROPER(Table3[[#This Row],[Cancer_Type]])</f>
        <v>Prostate</v>
      </c>
      <c r="T327" s="1" t="s">
        <v>591</v>
      </c>
      <c r="U327" s="4">
        <v>22634.400000000001</v>
      </c>
      <c r="V327" s="1">
        <v>6.5</v>
      </c>
      <c r="W327" s="1">
        <f t="shared" ca="1" si="43"/>
        <v>6</v>
      </c>
      <c r="X327" s="1">
        <v>4.71</v>
      </c>
      <c r="Y327" s="1" t="str">
        <f t="shared" si="44"/>
        <v>Stage II</v>
      </c>
      <c r="Z327" s="10">
        <f t="shared" si="38"/>
        <v>22634.400000000001</v>
      </c>
    </row>
    <row r="328" spans="1:26">
      <c r="A328" s="1" t="s">
        <v>269</v>
      </c>
      <c r="B328" s="1">
        <v>46</v>
      </c>
      <c r="C328" s="1" t="s">
        <v>543</v>
      </c>
      <c r="D328" s="1" t="str">
        <f>PROPER(Table3[[#This Row],[Gender]])</f>
        <v>Female</v>
      </c>
      <c r="E328" s="1" t="s">
        <v>551</v>
      </c>
      <c r="F328" s="1" t="str">
        <f>PROPER(Table3[[#This Row],[Country_Region]])</f>
        <v>Germany</v>
      </c>
      <c r="G328" s="1">
        <v>2022</v>
      </c>
      <c r="H328" s="1">
        <v>6.2</v>
      </c>
      <c r="I328" s="1">
        <f>IF(H328="", AVERAGEIF('CLEANED DATASET'!$G$2:$G$532,G328,'CLEANED DATASET'!$H261),H328)</f>
        <v>6.2</v>
      </c>
      <c r="J328" s="1">
        <v>7.5</v>
      </c>
      <c r="K328" s="1">
        <f t="shared" si="40"/>
        <v>7.5</v>
      </c>
      <c r="L328" s="1">
        <v>4</v>
      </c>
      <c r="M328" s="1">
        <f t="shared" si="41"/>
        <v>4</v>
      </c>
      <c r="N328" s="1"/>
      <c r="O328" s="3">
        <f t="shared" si="42"/>
        <v>4.7966666666666669</v>
      </c>
      <c r="P328" s="1">
        <v>5.5</v>
      </c>
      <c r="Q328" s="1">
        <f t="shared" si="39"/>
        <v>5.5</v>
      </c>
      <c r="R328" s="1" t="s">
        <v>603</v>
      </c>
      <c r="S328" s="1" t="str">
        <f>PROPER(Table3[[#This Row],[Cancer_Type]])</f>
        <v>Unknown</v>
      </c>
      <c r="T328" s="1" t="s">
        <v>593</v>
      </c>
      <c r="U328" s="4">
        <v>15458.23</v>
      </c>
      <c r="V328" s="1">
        <v>5.5</v>
      </c>
      <c r="W328" s="1">
        <f t="shared" ca="1" si="43"/>
        <v>4</v>
      </c>
      <c r="X328" s="1">
        <v>7.17</v>
      </c>
      <c r="Y328" s="1" t="str">
        <f t="shared" si="44"/>
        <v>Stage III</v>
      </c>
      <c r="Z328" s="10">
        <f t="shared" si="38"/>
        <v>15458.23</v>
      </c>
    </row>
    <row r="329" spans="1:26">
      <c r="A329" s="1" t="s">
        <v>330</v>
      </c>
      <c r="B329" s="1">
        <v>72</v>
      </c>
      <c r="C329" s="1" t="s">
        <v>542</v>
      </c>
      <c r="D329" s="1" t="str">
        <f>PROPER(Table3[[#This Row],[Gender]])</f>
        <v>Male</v>
      </c>
      <c r="E329" s="1" t="s">
        <v>549</v>
      </c>
      <c r="F329" s="1" t="str">
        <f>PROPER(Table3[[#This Row],[Country_Region]])</f>
        <v>Australia</v>
      </c>
      <c r="G329" s="1">
        <v>2024</v>
      </c>
      <c r="H329" s="1">
        <v>7.8</v>
      </c>
      <c r="I329" s="1">
        <f>IF(H329="", AVERAGEIF('CLEANED DATASET'!$G$2:$G$532,G329,'CLEANED DATASET'!$H322),H329)</f>
        <v>7.8</v>
      </c>
      <c r="J329" s="1"/>
      <c r="K329" s="1">
        <f t="shared" si="40"/>
        <v>5.0999999999999996</v>
      </c>
      <c r="L329" s="1">
        <v>5.9</v>
      </c>
      <c r="M329" s="1">
        <f t="shared" si="41"/>
        <v>5.9</v>
      </c>
      <c r="N329" s="1">
        <v>3.4</v>
      </c>
      <c r="O329" s="1">
        <f t="shared" si="42"/>
        <v>3.4</v>
      </c>
      <c r="P329" s="1">
        <v>4.7</v>
      </c>
      <c r="Q329" s="1">
        <f t="shared" si="39"/>
        <v>4.7</v>
      </c>
      <c r="R329" s="1" t="s">
        <v>570</v>
      </c>
      <c r="S329" s="1" t="str">
        <f>PROPER(Table3[[#This Row],[Cancer_Type]])</f>
        <v>Skin</v>
      </c>
      <c r="T329" s="1" t="s">
        <v>592</v>
      </c>
      <c r="U329" s="4">
        <v>72526.740000000005</v>
      </c>
      <c r="V329" s="1">
        <f>ROUND(10-((I329+K329+M329+O329+Q329)/5),1)</f>
        <v>4.5999999999999996</v>
      </c>
      <c r="W329" s="1">
        <f t="shared" ca="1" si="43"/>
        <v>6</v>
      </c>
      <c r="X329" s="1">
        <v>4.41</v>
      </c>
      <c r="Y329" s="1" t="str">
        <f t="shared" si="44"/>
        <v>Stage II</v>
      </c>
      <c r="Z329" s="10">
        <f t="shared" ref="Z329:Z392" si="45">IF(U329&lt;&gt;"",U329,ROUND(AVERAGEIF(S329:S859,S329,U329:U859),2))</f>
        <v>72526.740000000005</v>
      </c>
    </row>
    <row r="330" spans="1:26">
      <c r="A330" s="1" t="s">
        <v>440</v>
      </c>
      <c r="B330" s="1">
        <v>78</v>
      </c>
      <c r="C330" s="1" t="s">
        <v>543</v>
      </c>
      <c r="D330" s="1" t="str">
        <f>PROPER(Table3[[#This Row],[Gender]])</f>
        <v>Female</v>
      </c>
      <c r="E330" s="1" t="s">
        <v>560</v>
      </c>
      <c r="F330" s="1" t="str">
        <f>PROPER(Table3[[#This Row],[Country_Region]])</f>
        <v>Usa</v>
      </c>
      <c r="G330" s="1">
        <v>2022</v>
      </c>
      <c r="H330" s="1">
        <v>0.9</v>
      </c>
      <c r="I330" s="1">
        <f>IF(H330="", AVERAGEIF('CLEANED DATASET'!$G$2:$G$532,G330,'CLEANED DATASET'!$H432),H330)</f>
        <v>0.9</v>
      </c>
      <c r="J330" s="1">
        <v>2.1</v>
      </c>
      <c r="K330" s="1">
        <f t="shared" si="40"/>
        <v>2.1</v>
      </c>
      <c r="L330" s="1">
        <v>6.5</v>
      </c>
      <c r="M330" s="1">
        <f t="shared" si="41"/>
        <v>6.5</v>
      </c>
      <c r="N330" s="1">
        <v>2.4</v>
      </c>
      <c r="O330" s="1">
        <f t="shared" si="42"/>
        <v>2.4</v>
      </c>
      <c r="P330" s="1">
        <v>6.6</v>
      </c>
      <c r="Q330" s="1">
        <f t="shared" si="39"/>
        <v>6.6</v>
      </c>
      <c r="R330" s="1" t="s">
        <v>576</v>
      </c>
      <c r="S330" s="1" t="str">
        <f>PROPER(Table3[[#This Row],[Cancer_Type]])</f>
        <v>Cervical</v>
      </c>
      <c r="T330" s="1" t="s">
        <v>592</v>
      </c>
      <c r="U330" s="4">
        <v>38343.64</v>
      </c>
      <c r="V330" s="1">
        <v>7.3</v>
      </c>
      <c r="W330" s="1">
        <f t="shared" ca="1" si="43"/>
        <v>8</v>
      </c>
      <c r="X330" s="1">
        <v>3.84</v>
      </c>
      <c r="Y330" s="1" t="str">
        <f t="shared" si="44"/>
        <v>Stage I</v>
      </c>
      <c r="Z330" s="10">
        <f t="shared" si="45"/>
        <v>38343.64</v>
      </c>
    </row>
    <row r="331" spans="1:26">
      <c r="A331" s="1" t="s">
        <v>477</v>
      </c>
      <c r="B331" s="1">
        <v>60</v>
      </c>
      <c r="C331" s="1" t="s">
        <v>543</v>
      </c>
      <c r="D331" s="1" t="str">
        <f>PROPER(Table3[[#This Row],[Gender]])</f>
        <v>Female</v>
      </c>
      <c r="E331" s="1" t="s">
        <v>555</v>
      </c>
      <c r="F331" s="1" t="str">
        <f>PROPER(Table3[[#This Row],[Country_Region]])</f>
        <v>Russia</v>
      </c>
      <c r="G331" s="1">
        <v>2023</v>
      </c>
      <c r="H331" s="1">
        <v>1.2</v>
      </c>
      <c r="I331" s="1">
        <f>IF(H331="", AVERAGEIF('CLEANED DATASET'!$G$2:$G$532,G331,'CLEANED DATASET'!$H469),H331)</f>
        <v>1.2</v>
      </c>
      <c r="J331" s="1">
        <v>3.1</v>
      </c>
      <c r="K331" s="1">
        <f t="shared" si="40"/>
        <v>3.1</v>
      </c>
      <c r="L331" s="1">
        <v>7.4</v>
      </c>
      <c r="M331" s="1">
        <f t="shared" si="41"/>
        <v>7.4</v>
      </c>
      <c r="N331" s="1">
        <v>2.2000000000000002</v>
      </c>
      <c r="O331" s="1">
        <f t="shared" si="42"/>
        <v>2.2000000000000002</v>
      </c>
      <c r="P331" s="1">
        <v>1.5</v>
      </c>
      <c r="Q331" s="1">
        <f t="shared" si="39"/>
        <v>1.5</v>
      </c>
      <c r="R331" s="1" t="s">
        <v>573</v>
      </c>
      <c r="S331" s="1" t="str">
        <f>PROPER(Table3[[#This Row],[Cancer_Type]])</f>
        <v>Breast</v>
      </c>
      <c r="T331" s="1" t="s">
        <v>592</v>
      </c>
      <c r="U331" s="4">
        <v>37396.1</v>
      </c>
      <c r="V331" s="1">
        <v>2</v>
      </c>
      <c r="W331" s="1">
        <f t="shared" ca="1" si="43"/>
        <v>7</v>
      </c>
      <c r="X331" s="1">
        <v>3.66</v>
      </c>
      <c r="Y331" s="1" t="str">
        <f t="shared" si="44"/>
        <v>Stage I</v>
      </c>
      <c r="Z331" s="10">
        <f t="shared" si="45"/>
        <v>37396.1</v>
      </c>
    </row>
    <row r="332" spans="1:26">
      <c r="A332" s="1" t="s">
        <v>331</v>
      </c>
      <c r="B332" s="1">
        <v>23</v>
      </c>
      <c r="C332" s="1" t="s">
        <v>543</v>
      </c>
      <c r="D332" s="1" t="str">
        <f>PROPER(Table3[[#This Row],[Gender]])</f>
        <v>Female</v>
      </c>
      <c r="E332" s="1" t="s">
        <v>549</v>
      </c>
      <c r="F332" s="1" t="str">
        <f>PROPER(Table3[[#This Row],[Country_Region]])</f>
        <v>Australia</v>
      </c>
      <c r="G332" s="1">
        <v>2022</v>
      </c>
      <c r="H332" s="1">
        <v>7.8</v>
      </c>
      <c r="I332" s="1">
        <f>IF(H332="", AVERAGEIF('CLEANED DATASET'!$G$2:$G$532,G332,'CLEANED DATASET'!$H323),H332)</f>
        <v>7.8</v>
      </c>
      <c r="J332" s="1">
        <v>9.6999999999999993</v>
      </c>
      <c r="K332" s="1">
        <f t="shared" si="40"/>
        <v>9.6999999999999993</v>
      </c>
      <c r="L332" s="1">
        <v>5.7</v>
      </c>
      <c r="M332" s="1">
        <f t="shared" si="41"/>
        <v>5.7</v>
      </c>
      <c r="N332" s="1">
        <v>0.2</v>
      </c>
      <c r="O332" s="1">
        <f t="shared" si="42"/>
        <v>0.2</v>
      </c>
      <c r="P332" s="1">
        <v>1.9</v>
      </c>
      <c r="Q332" s="1">
        <f t="shared" si="39"/>
        <v>1.9</v>
      </c>
      <c r="R332" s="1" t="s">
        <v>576</v>
      </c>
      <c r="S332" s="1" t="str">
        <f>PROPER(Table3[[#This Row],[Cancer_Type]])</f>
        <v>Cervical</v>
      </c>
      <c r="T332" s="1" t="s">
        <v>590</v>
      </c>
      <c r="U332" s="4"/>
      <c r="V332" s="1">
        <v>6.5</v>
      </c>
      <c r="W332" s="1">
        <f t="shared" ca="1" si="43"/>
        <v>5</v>
      </c>
      <c r="X332" s="1">
        <v>4.8</v>
      </c>
      <c r="Y332" s="1" t="str">
        <f t="shared" si="44"/>
        <v>Stage II</v>
      </c>
      <c r="Z332" s="10">
        <f t="shared" si="45"/>
        <v>56113.58</v>
      </c>
    </row>
    <row r="333" spans="1:26">
      <c r="A333" s="1" t="s">
        <v>284</v>
      </c>
      <c r="B333" s="1">
        <v>40</v>
      </c>
      <c r="C333" s="1" t="s">
        <v>543</v>
      </c>
      <c r="D333" s="1" t="str">
        <f>PROPER(Table3[[#This Row],[Gender]])</f>
        <v>Female</v>
      </c>
      <c r="E333" s="1" t="s">
        <v>556</v>
      </c>
      <c r="F333" s="1" t="str">
        <f>PROPER(Table3[[#This Row],[Country_Region]])</f>
        <v>India</v>
      </c>
      <c r="G333" s="1">
        <v>2022</v>
      </c>
      <c r="H333" s="1"/>
      <c r="I333" s="3">
        <f ca="1">IF(H333="", AVERAGEIF('CLEANED DATASET'!$G$2:$G$532,G333,'CLEANED DATASET'!$H276),H333)</f>
        <v>5.1112499999999974</v>
      </c>
      <c r="J333" s="1">
        <v>0.9</v>
      </c>
      <c r="K333" s="1">
        <f t="shared" si="40"/>
        <v>0.9</v>
      </c>
      <c r="L333" s="1">
        <v>5</v>
      </c>
      <c r="M333" s="1">
        <f t="shared" si="41"/>
        <v>5</v>
      </c>
      <c r="N333" s="1">
        <v>4.2</v>
      </c>
      <c r="O333" s="1">
        <f t="shared" si="42"/>
        <v>4.2</v>
      </c>
      <c r="P333" s="1">
        <v>6.2</v>
      </c>
      <c r="Q333" s="1">
        <f t="shared" si="39"/>
        <v>6.2</v>
      </c>
      <c r="R333" s="1" t="s">
        <v>573</v>
      </c>
      <c r="S333" s="1" t="str">
        <f>PROPER(Table3[[#This Row],[Cancer_Type]])</f>
        <v>Breast</v>
      </c>
      <c r="T333" s="1" t="s">
        <v>590</v>
      </c>
      <c r="U333" s="4">
        <v>73781.94</v>
      </c>
      <c r="V333" s="1">
        <v>8.4</v>
      </c>
      <c r="W333" s="1">
        <f t="shared" ca="1" si="43"/>
        <v>7</v>
      </c>
      <c r="X333" s="1">
        <v>2.99</v>
      </c>
      <c r="Y333" s="1" t="str">
        <f t="shared" si="44"/>
        <v>Stage I</v>
      </c>
      <c r="Z333" s="10">
        <f t="shared" si="45"/>
        <v>73781.94</v>
      </c>
    </row>
    <row r="334" spans="1:26">
      <c r="A334" s="1" t="s">
        <v>470</v>
      </c>
      <c r="B334" s="1">
        <v>79</v>
      </c>
      <c r="C334" s="1" t="s">
        <v>543</v>
      </c>
      <c r="D334" s="1" t="str">
        <f>PROPER(Table3[[#This Row],[Gender]])</f>
        <v>Female</v>
      </c>
      <c r="E334" s="1" t="s">
        <v>551</v>
      </c>
      <c r="F334" s="1" t="str">
        <f>PROPER(Table3[[#This Row],[Country_Region]])</f>
        <v>Germany</v>
      </c>
      <c r="G334" s="1">
        <v>2022</v>
      </c>
      <c r="H334" s="1">
        <v>4.2</v>
      </c>
      <c r="I334" s="1">
        <f>IF(H334="", AVERAGEIF('CLEANED DATASET'!$G$2:$G$532,G334,'CLEANED DATASET'!$H462),H334)</f>
        <v>4.2</v>
      </c>
      <c r="J334" s="1">
        <v>2</v>
      </c>
      <c r="K334" s="1">
        <f t="shared" si="40"/>
        <v>2</v>
      </c>
      <c r="L334" s="1"/>
      <c r="M334" s="3">
        <f t="shared" si="41"/>
        <v>5.1160714285714288</v>
      </c>
      <c r="N334" s="1"/>
      <c r="O334" s="3">
        <f t="shared" si="42"/>
        <v>4.9298245614035086</v>
      </c>
      <c r="P334" s="1">
        <v>2.5</v>
      </c>
      <c r="Q334" s="1">
        <f t="shared" si="39"/>
        <v>2.5</v>
      </c>
      <c r="R334" s="1" t="s">
        <v>584</v>
      </c>
      <c r="S334" s="1" t="str">
        <f>PROPER(Table3[[#This Row],[Cancer_Type]])</f>
        <v>Skin</v>
      </c>
      <c r="T334" s="1" t="s">
        <v>593</v>
      </c>
      <c r="U334" s="4">
        <v>23209.65</v>
      </c>
      <c r="V334" s="1">
        <v>8.1999999999999993</v>
      </c>
      <c r="W334" s="1">
        <f t="shared" ca="1" si="43"/>
        <v>6</v>
      </c>
      <c r="X334" s="1">
        <v>4.6100000000000003</v>
      </c>
      <c r="Y334" s="1" t="str">
        <f t="shared" si="44"/>
        <v>Stage II</v>
      </c>
      <c r="Z334" s="10">
        <f t="shared" si="45"/>
        <v>23209.65</v>
      </c>
    </row>
    <row r="335" spans="1:26">
      <c r="A335" s="1" t="s">
        <v>240</v>
      </c>
      <c r="B335" s="1">
        <v>21</v>
      </c>
      <c r="C335" s="1" t="s">
        <v>541</v>
      </c>
      <c r="D335" s="1" t="str">
        <f>PROPER(Table3[[#This Row],[Gender]])</f>
        <v>Other</v>
      </c>
      <c r="E335" s="1" t="s">
        <v>626</v>
      </c>
      <c r="F335" s="1" t="str">
        <f>PROPER(Table3[[#This Row],[Country_Region]])</f>
        <v>Germany</v>
      </c>
      <c r="G335" s="1">
        <v>2023</v>
      </c>
      <c r="H335" s="1">
        <v>1</v>
      </c>
      <c r="I335" s="1">
        <f>IF(H335="", AVERAGEIF('CLEANED DATASET'!$G$2:$G$532,G335,'CLEANED DATASET'!$H232),H335)</f>
        <v>1</v>
      </c>
      <c r="J335" s="1">
        <v>0.4</v>
      </c>
      <c r="K335" s="1">
        <f t="shared" si="40"/>
        <v>0.4</v>
      </c>
      <c r="L335" s="1">
        <v>4.7</v>
      </c>
      <c r="M335" s="1">
        <f t="shared" si="41"/>
        <v>4.7</v>
      </c>
      <c r="N335" s="1">
        <v>2.8</v>
      </c>
      <c r="O335" s="1">
        <f t="shared" si="42"/>
        <v>2.8</v>
      </c>
      <c r="P335" s="1">
        <v>7</v>
      </c>
      <c r="Q335" s="1">
        <f t="shared" si="39"/>
        <v>7</v>
      </c>
      <c r="R335" s="1" t="s">
        <v>578</v>
      </c>
      <c r="S335" s="1" t="str">
        <f>PROPER(Table3[[#This Row],[Cancer_Type]])</f>
        <v>Liver</v>
      </c>
      <c r="T335" s="1" t="s">
        <v>592</v>
      </c>
      <c r="U335" s="4">
        <v>76820.009999999995</v>
      </c>
      <c r="V335" s="1">
        <v>9.3000000000000007</v>
      </c>
      <c r="W335" s="1">
        <f t="shared" ca="1" si="43"/>
        <v>8</v>
      </c>
      <c r="X335" s="1">
        <v>2.69</v>
      </c>
      <c r="Y335" s="1" t="str">
        <f t="shared" si="44"/>
        <v>Stage I</v>
      </c>
      <c r="Z335" s="10">
        <f t="shared" si="45"/>
        <v>76820.009999999995</v>
      </c>
    </row>
    <row r="336" spans="1:26">
      <c r="A336" s="1" t="s">
        <v>323</v>
      </c>
      <c r="B336" s="1">
        <v>77</v>
      </c>
      <c r="C336" s="1" t="s">
        <v>542</v>
      </c>
      <c r="D336" s="1" t="str">
        <f>PROPER(Table3[[#This Row],[Gender]])</f>
        <v>Male</v>
      </c>
      <c r="E336" s="1" t="s">
        <v>550</v>
      </c>
      <c r="F336" s="1" t="str">
        <f>PROPER(Table3[[#This Row],[Country_Region]])</f>
        <v>Pakistan</v>
      </c>
      <c r="G336" s="1">
        <v>2023</v>
      </c>
      <c r="H336" s="1">
        <v>7</v>
      </c>
      <c r="I336" s="1">
        <f>IF(H336="", AVERAGEIF('CLEANED DATASET'!$G$2:$G$532,G336,'CLEANED DATASET'!$H315),H336)</f>
        <v>7</v>
      </c>
      <c r="J336" s="1">
        <v>1</v>
      </c>
      <c r="K336" s="1">
        <f t="shared" si="40"/>
        <v>1</v>
      </c>
      <c r="L336" s="1">
        <v>0.3</v>
      </c>
      <c r="M336" s="1">
        <f t="shared" si="41"/>
        <v>0.3</v>
      </c>
      <c r="N336" s="1">
        <v>4.5</v>
      </c>
      <c r="O336" s="1">
        <f t="shared" si="42"/>
        <v>4.5</v>
      </c>
      <c r="P336" s="1">
        <v>2.1</v>
      </c>
      <c r="Q336" s="1">
        <f t="shared" si="39"/>
        <v>2.1</v>
      </c>
      <c r="R336" s="1" t="s">
        <v>576</v>
      </c>
      <c r="S336" s="1" t="str">
        <f>PROPER(Table3[[#This Row],[Cancer_Type]])</f>
        <v>Cervical</v>
      </c>
      <c r="T336" s="1" t="s">
        <v>592</v>
      </c>
      <c r="U336" s="4">
        <v>69508.62</v>
      </c>
      <c r="V336" s="1">
        <v>7.4</v>
      </c>
      <c r="W336" s="1">
        <f t="shared" ca="1" si="43"/>
        <v>7</v>
      </c>
      <c r="X336" s="1">
        <v>3.31</v>
      </c>
      <c r="Y336" s="1" t="str">
        <f t="shared" si="44"/>
        <v>Stage I</v>
      </c>
      <c r="Z336" s="10">
        <f t="shared" si="45"/>
        <v>69508.62</v>
      </c>
    </row>
    <row r="337" spans="1:26">
      <c r="A337" s="1" t="s">
        <v>135</v>
      </c>
      <c r="B337" s="1">
        <v>76</v>
      </c>
      <c r="C337" s="1" t="s">
        <v>542</v>
      </c>
      <c r="D337" s="1" t="str">
        <f>PROPER(Table3[[#This Row],[Gender]])</f>
        <v>Male</v>
      </c>
      <c r="E337" s="1" t="s">
        <v>551</v>
      </c>
      <c r="F337" s="1" t="str">
        <f>PROPER(Table3[[#This Row],[Country_Region]])</f>
        <v>Germany</v>
      </c>
      <c r="G337" s="1">
        <v>2022</v>
      </c>
      <c r="H337" s="1">
        <v>3.2</v>
      </c>
      <c r="I337" s="1">
        <f>IF(H337="", AVERAGEIF('CLEANED DATASET'!$G$2:$G$532,G337,'CLEANED DATASET'!$H127),H337)</f>
        <v>3.2</v>
      </c>
      <c r="J337" s="1">
        <v>1.6</v>
      </c>
      <c r="K337" s="1">
        <f t="shared" si="40"/>
        <v>1.6</v>
      </c>
      <c r="L337" s="1">
        <v>0.9</v>
      </c>
      <c r="M337" s="1">
        <f t="shared" si="41"/>
        <v>0.9</v>
      </c>
      <c r="N337" s="1">
        <v>4.7</v>
      </c>
      <c r="O337" s="1">
        <f t="shared" si="42"/>
        <v>4.7</v>
      </c>
      <c r="P337" s="1">
        <v>8.5</v>
      </c>
      <c r="Q337" s="1">
        <f t="shared" si="39"/>
        <v>8.5</v>
      </c>
      <c r="R337" s="1" t="s">
        <v>573</v>
      </c>
      <c r="S337" s="1" t="str">
        <f>PROPER(Table3[[#This Row],[Cancer_Type]])</f>
        <v>Breast</v>
      </c>
      <c r="T337" s="1" t="s">
        <v>592</v>
      </c>
      <c r="U337" s="4">
        <v>97028.74</v>
      </c>
      <c r="V337" s="1">
        <f>ROUND(10-((I337+K337+M337+O337+Q337)/5),1)</f>
        <v>6.2</v>
      </c>
      <c r="W337" s="1">
        <f t="shared" ca="1" si="43"/>
        <v>7</v>
      </c>
      <c r="X337" s="1">
        <v>2.86</v>
      </c>
      <c r="Y337" s="1" t="str">
        <f t="shared" si="44"/>
        <v>Stage I</v>
      </c>
      <c r="Z337" s="10">
        <f t="shared" si="45"/>
        <v>97028.74</v>
      </c>
    </row>
    <row r="338" spans="1:26">
      <c r="A338" s="1" t="s">
        <v>457</v>
      </c>
      <c r="B338" s="1">
        <v>68</v>
      </c>
      <c r="C338" s="1" t="s">
        <v>541</v>
      </c>
      <c r="D338" s="1" t="str">
        <f>PROPER(Table3[[#This Row],[Gender]])</f>
        <v>Other</v>
      </c>
      <c r="E338" s="1" t="s">
        <v>559</v>
      </c>
      <c r="F338" s="1" t="str">
        <f>PROPER(Table3[[#This Row],[Country_Region]])</f>
        <v>Russia</v>
      </c>
      <c r="G338" s="1">
        <v>2024</v>
      </c>
      <c r="H338" s="1">
        <v>9.5</v>
      </c>
      <c r="I338" s="1">
        <f>IF(H338="", AVERAGEIF('CLEANED DATASET'!$G$2:$G$532,G338,'CLEANED DATASET'!$H449),H338)</f>
        <v>9.5</v>
      </c>
      <c r="J338" s="1">
        <v>8.4</v>
      </c>
      <c r="K338" s="1">
        <f t="shared" si="40"/>
        <v>8.4</v>
      </c>
      <c r="L338" s="1">
        <v>1.6</v>
      </c>
      <c r="M338" s="1">
        <f t="shared" si="41"/>
        <v>1.6</v>
      </c>
      <c r="N338" s="1">
        <v>1.1000000000000001</v>
      </c>
      <c r="O338" s="1">
        <f t="shared" si="42"/>
        <v>1.1000000000000001</v>
      </c>
      <c r="P338" s="1">
        <v>8.8000000000000007</v>
      </c>
      <c r="Q338" s="1">
        <f t="shared" si="39"/>
        <v>8.8000000000000007</v>
      </c>
      <c r="R338" s="1" t="s">
        <v>578</v>
      </c>
      <c r="S338" s="1" t="str">
        <f>PROPER(Table3[[#This Row],[Cancer_Type]])</f>
        <v>Liver</v>
      </c>
      <c r="T338" s="1" t="s">
        <v>593</v>
      </c>
      <c r="U338" s="4">
        <v>57079.58</v>
      </c>
      <c r="V338" s="1">
        <v>9.1999999999999993</v>
      </c>
      <c r="W338" s="1">
        <f t="shared" ca="1" si="43"/>
        <v>6</v>
      </c>
      <c r="X338" s="1">
        <v>5.36</v>
      </c>
      <c r="Y338" s="1" t="str">
        <f t="shared" si="44"/>
        <v>Stage II</v>
      </c>
      <c r="Z338" s="10">
        <f t="shared" si="45"/>
        <v>57079.58</v>
      </c>
    </row>
    <row r="339" spans="1:26">
      <c r="A339" s="1" t="s">
        <v>154</v>
      </c>
      <c r="B339" s="1">
        <v>71</v>
      </c>
      <c r="C339" s="1" t="s">
        <v>543</v>
      </c>
      <c r="D339" s="1" t="str">
        <f>PROPER(Table3[[#This Row],[Gender]])</f>
        <v>Female</v>
      </c>
      <c r="E339" s="1" t="s">
        <v>552</v>
      </c>
      <c r="F339" s="1" t="str">
        <f>PROPER(Table3[[#This Row],[Country_Region]])</f>
        <v>China</v>
      </c>
      <c r="G339" s="1">
        <v>2024</v>
      </c>
      <c r="H339" s="1">
        <v>4</v>
      </c>
      <c r="I339" s="1">
        <f>IF(H339="", AVERAGEIF('CLEANED DATASET'!$G$2:$G$532,G339,'CLEANED DATASET'!$H146),H339)</f>
        <v>4</v>
      </c>
      <c r="J339" s="1">
        <v>3.6</v>
      </c>
      <c r="K339" s="1">
        <f t="shared" si="40"/>
        <v>3.6</v>
      </c>
      <c r="L339" s="1"/>
      <c r="M339" s="3">
        <f t="shared" si="41"/>
        <v>4.6681159420289857</v>
      </c>
      <c r="N339" s="1">
        <v>8.9</v>
      </c>
      <c r="O339" s="1">
        <f t="shared" si="42"/>
        <v>8.9</v>
      </c>
      <c r="P339" s="1">
        <v>3</v>
      </c>
      <c r="Q339" s="1">
        <f t="shared" si="39"/>
        <v>3</v>
      </c>
      <c r="R339" s="1" t="s">
        <v>573</v>
      </c>
      <c r="S339" s="1" t="str">
        <f>PROPER(Table3[[#This Row],[Cancer_Type]])</f>
        <v>Breast</v>
      </c>
      <c r="T339" s="1" t="s">
        <v>592</v>
      </c>
      <c r="U339" s="4">
        <v>59719.16</v>
      </c>
      <c r="V339" s="1">
        <v>7.4</v>
      </c>
      <c r="W339" s="1">
        <f t="shared" ca="1" si="43"/>
        <v>6</v>
      </c>
      <c r="X339" s="1">
        <v>4.74</v>
      </c>
      <c r="Y339" s="1" t="str">
        <f t="shared" si="44"/>
        <v>Stage II</v>
      </c>
      <c r="Z339" s="10">
        <f t="shared" si="45"/>
        <v>59719.16</v>
      </c>
    </row>
    <row r="340" spans="1:26">
      <c r="A340" s="1" t="s">
        <v>510</v>
      </c>
      <c r="B340" s="1">
        <v>39</v>
      </c>
      <c r="C340" s="1" t="s">
        <v>541</v>
      </c>
      <c r="D340" s="1" t="str">
        <f>PROPER(Table3[[#This Row],[Gender]])</f>
        <v>Other</v>
      </c>
      <c r="E340" s="1" t="s">
        <v>549</v>
      </c>
      <c r="F340" s="1" t="str">
        <f>PROPER(Table3[[#This Row],[Country_Region]])</f>
        <v>Australia</v>
      </c>
      <c r="G340" s="1">
        <v>2024</v>
      </c>
      <c r="H340" s="1">
        <v>4.5999999999999996</v>
      </c>
      <c r="I340" s="1">
        <f>IF(H340="", AVERAGEIF('CLEANED DATASET'!$G$2:$G$532,G340,'CLEANED DATASET'!$H502),H340)</f>
        <v>4.5999999999999996</v>
      </c>
      <c r="J340" s="1">
        <v>2.2000000000000002</v>
      </c>
      <c r="K340" s="1">
        <f t="shared" si="40"/>
        <v>2.2000000000000002</v>
      </c>
      <c r="L340" s="1">
        <v>3.6</v>
      </c>
      <c r="M340" s="1">
        <f t="shared" si="41"/>
        <v>3.6</v>
      </c>
      <c r="N340" s="1">
        <v>8.4</v>
      </c>
      <c r="O340" s="1">
        <f t="shared" si="42"/>
        <v>8.4</v>
      </c>
      <c r="P340" s="1">
        <v>3.8</v>
      </c>
      <c r="Q340" s="1">
        <f t="shared" si="39"/>
        <v>3.8</v>
      </c>
      <c r="R340" s="1" t="s">
        <v>578</v>
      </c>
      <c r="S340" s="1" t="str">
        <f>PROPER(Table3[[#This Row],[Cancer_Type]])</f>
        <v>Liver</v>
      </c>
      <c r="T340" s="1" t="s">
        <v>591</v>
      </c>
      <c r="U340" s="4"/>
      <c r="V340" s="1">
        <v>7.7</v>
      </c>
      <c r="W340" s="1">
        <f t="shared" ca="1" si="43"/>
        <v>6</v>
      </c>
      <c r="X340" s="1">
        <v>4.3</v>
      </c>
      <c r="Y340" s="1" t="str">
        <f t="shared" si="44"/>
        <v>Stage II</v>
      </c>
      <c r="Z340" s="10">
        <f t="shared" si="45"/>
        <v>45072.92</v>
      </c>
    </row>
    <row r="341" spans="1:26">
      <c r="A341" s="1" t="s">
        <v>365</v>
      </c>
      <c r="B341" s="1">
        <v>67</v>
      </c>
      <c r="C341" s="1" t="s">
        <v>541</v>
      </c>
      <c r="D341" s="1" t="str">
        <f>PROPER(Table3[[#This Row],[Gender]])</f>
        <v>Other</v>
      </c>
      <c r="E341" s="1" t="s">
        <v>554</v>
      </c>
      <c r="F341" s="1" t="str">
        <f>PROPER(Table3[[#This Row],[Country_Region]])</f>
        <v>Brazil</v>
      </c>
      <c r="G341" s="1">
        <v>2024</v>
      </c>
      <c r="H341" s="1">
        <v>1.7</v>
      </c>
      <c r="I341" s="1">
        <f>IF(H341="", AVERAGEIF('CLEANED DATASET'!$G$2:$G$532,G341,'CLEANED DATASET'!$H357),H341)</f>
        <v>1.7</v>
      </c>
      <c r="J341" s="1">
        <v>9.8000000000000007</v>
      </c>
      <c r="K341" s="1">
        <f t="shared" si="40"/>
        <v>9.8000000000000007</v>
      </c>
      <c r="L341" s="1"/>
      <c r="M341" s="3">
        <f t="shared" si="41"/>
        <v>4.6838235294117645</v>
      </c>
      <c r="N341" s="1">
        <v>6.9</v>
      </c>
      <c r="O341" s="1">
        <f t="shared" si="42"/>
        <v>6.9</v>
      </c>
      <c r="P341" s="1">
        <v>9.6999999999999993</v>
      </c>
      <c r="Q341" s="1">
        <f t="shared" si="39"/>
        <v>9.6999999999999993</v>
      </c>
      <c r="R341" s="1" t="s">
        <v>574</v>
      </c>
      <c r="S341" s="1" t="str">
        <f>PROPER(Table3[[#This Row],[Cancer_Type]])</f>
        <v>Colon</v>
      </c>
      <c r="T341" s="1" t="s">
        <v>593</v>
      </c>
      <c r="U341" s="4">
        <v>93067.78</v>
      </c>
      <c r="V341" s="1">
        <v>1.2</v>
      </c>
      <c r="W341" s="1">
        <f t="shared" ca="1" si="43"/>
        <v>5</v>
      </c>
      <c r="X341" s="1">
        <v>5.18</v>
      </c>
      <c r="Y341" s="1" t="str">
        <f t="shared" si="44"/>
        <v>Stage II</v>
      </c>
      <c r="Z341" s="10">
        <f t="shared" si="45"/>
        <v>93067.78</v>
      </c>
    </row>
    <row r="342" spans="1:26">
      <c r="A342" s="1" t="s">
        <v>239</v>
      </c>
      <c r="B342" s="1">
        <v>38</v>
      </c>
      <c r="C342" s="1" t="s">
        <v>542</v>
      </c>
      <c r="D342" s="1" t="str">
        <f>PROPER(Table3[[#This Row],[Gender]])</f>
        <v>Male</v>
      </c>
      <c r="E342" s="1" t="s">
        <v>556</v>
      </c>
      <c r="F342" s="1" t="str">
        <f>PROPER(Table3[[#This Row],[Country_Region]])</f>
        <v>India</v>
      </c>
      <c r="G342" s="1">
        <v>2022</v>
      </c>
      <c r="H342" s="1">
        <v>5.7</v>
      </c>
      <c r="I342" s="1">
        <f>IF(H342="", AVERAGEIF('CLEANED DATASET'!$G$2:$G$532,G342,'CLEANED DATASET'!$H231),H342)</f>
        <v>5.7</v>
      </c>
      <c r="J342" s="1">
        <v>7.5</v>
      </c>
      <c r="K342" s="1">
        <f t="shared" si="40"/>
        <v>7.5</v>
      </c>
      <c r="L342" s="1">
        <v>7.9</v>
      </c>
      <c r="M342" s="1">
        <f t="shared" si="41"/>
        <v>7.9</v>
      </c>
      <c r="N342" s="1">
        <v>5.8</v>
      </c>
      <c r="O342" s="1">
        <f t="shared" si="42"/>
        <v>5.8</v>
      </c>
      <c r="P342" s="1">
        <v>7.8</v>
      </c>
      <c r="Q342" s="1">
        <f t="shared" si="39"/>
        <v>7.8</v>
      </c>
      <c r="R342" s="1" t="s">
        <v>570</v>
      </c>
      <c r="S342" s="1" t="str">
        <f>PROPER(Table3[[#This Row],[Cancer_Type]])</f>
        <v>Skin</v>
      </c>
      <c r="T342" s="1" t="s">
        <v>593</v>
      </c>
      <c r="U342" s="4">
        <v>48417.55</v>
      </c>
      <c r="V342" s="1">
        <v>9.6</v>
      </c>
      <c r="W342" s="1">
        <f t="shared" ca="1" si="43"/>
        <v>3</v>
      </c>
      <c r="X342" s="1">
        <v>6.42</v>
      </c>
      <c r="Y342" s="1" t="str">
        <f t="shared" si="44"/>
        <v>Stage III</v>
      </c>
      <c r="Z342" s="10">
        <f t="shared" si="45"/>
        <v>48417.55</v>
      </c>
    </row>
    <row r="343" spans="1:26">
      <c r="A343" s="1" t="s">
        <v>520</v>
      </c>
      <c r="B343" s="1">
        <v>60</v>
      </c>
      <c r="C343" s="1" t="s">
        <v>541</v>
      </c>
      <c r="D343" s="1" t="str">
        <f>PROPER(Table3[[#This Row],[Gender]])</f>
        <v>Other</v>
      </c>
      <c r="E343" s="1" t="s">
        <v>552</v>
      </c>
      <c r="F343" s="1" t="str">
        <f>PROPER(Table3[[#This Row],[Country_Region]])</f>
        <v>China</v>
      </c>
      <c r="G343" s="1">
        <v>2023</v>
      </c>
      <c r="H343" s="1">
        <v>7.4</v>
      </c>
      <c r="I343" s="1">
        <f>IF(H343="", AVERAGEIF('CLEANED DATASET'!$G$2:$G$532,G343,'CLEANED DATASET'!$H512),H343)</f>
        <v>7.4</v>
      </c>
      <c r="J343" s="1">
        <v>2</v>
      </c>
      <c r="K343" s="1">
        <f t="shared" si="40"/>
        <v>2</v>
      </c>
      <c r="L343" s="1">
        <v>2</v>
      </c>
      <c r="M343" s="1">
        <f t="shared" si="41"/>
        <v>2</v>
      </c>
      <c r="N343" s="1">
        <v>1.5</v>
      </c>
      <c r="O343" s="1">
        <f t="shared" si="42"/>
        <v>1.5</v>
      </c>
      <c r="P343" s="1">
        <v>5.2</v>
      </c>
      <c r="Q343" s="1">
        <f t="shared" si="39"/>
        <v>5.2</v>
      </c>
      <c r="R343" s="1" t="s">
        <v>571</v>
      </c>
      <c r="S343" s="1" t="str">
        <f>PROPER(Table3[[#This Row],[Cancer_Type]])</f>
        <v>Lung</v>
      </c>
      <c r="T343" s="1" t="s">
        <v>592</v>
      </c>
      <c r="U343" s="4">
        <v>11332.75</v>
      </c>
      <c r="V343" s="1">
        <v>6.8</v>
      </c>
      <c r="W343" s="1">
        <f t="shared" ca="1" si="43"/>
        <v>6</v>
      </c>
      <c r="X343" s="1">
        <v>4.67</v>
      </c>
      <c r="Y343" s="1" t="str">
        <f t="shared" si="44"/>
        <v>Stage II</v>
      </c>
      <c r="Z343" s="10">
        <f t="shared" si="45"/>
        <v>11332.75</v>
      </c>
    </row>
    <row r="344" spans="1:26">
      <c r="A344" s="1" t="s">
        <v>371</v>
      </c>
      <c r="B344" s="1">
        <v>83</v>
      </c>
      <c r="C344" s="1" t="s">
        <v>542</v>
      </c>
      <c r="D344" s="1" t="str">
        <f>PROPER(Table3[[#This Row],[Gender]])</f>
        <v>Male</v>
      </c>
      <c r="E344" s="1" t="s">
        <v>560</v>
      </c>
      <c r="F344" s="1" t="str">
        <f>PROPER(Table3[[#This Row],[Country_Region]])</f>
        <v>Usa</v>
      </c>
      <c r="G344" s="1">
        <v>2024</v>
      </c>
      <c r="H344" s="1"/>
      <c r="I344" s="3">
        <f ca="1">IF(H344="", AVERAGEIF('CLEANED DATASET'!$G$2:$G$532,G344,'CLEANED DATASET'!$H363),H344)</f>
        <v>4.6962264150943396</v>
      </c>
      <c r="J344" s="1">
        <v>0.1</v>
      </c>
      <c r="K344" s="1">
        <f t="shared" si="40"/>
        <v>0.1</v>
      </c>
      <c r="L344" s="1">
        <v>3.7</v>
      </c>
      <c r="M344" s="1">
        <f t="shared" si="41"/>
        <v>3.7</v>
      </c>
      <c r="N344" s="1">
        <v>4.5999999999999996</v>
      </c>
      <c r="O344" s="1">
        <f t="shared" si="42"/>
        <v>4.5999999999999996</v>
      </c>
      <c r="P344" s="1">
        <v>7.5</v>
      </c>
      <c r="Q344" s="1">
        <f t="shared" si="39"/>
        <v>7.5</v>
      </c>
      <c r="R344" s="1" t="s">
        <v>576</v>
      </c>
      <c r="S344" s="1" t="str">
        <f>PROPER(Table3[[#This Row],[Cancer_Type]])</f>
        <v>Cervical</v>
      </c>
      <c r="T344" s="1"/>
      <c r="U344" s="4">
        <v>28346.49</v>
      </c>
      <c r="V344" s="1">
        <v>4.3</v>
      </c>
      <c r="W344" s="1">
        <f t="shared" ca="1" si="43"/>
        <v>6</v>
      </c>
      <c r="X344" s="1">
        <v>5.33</v>
      </c>
      <c r="Y344" s="1" t="str">
        <f t="shared" si="44"/>
        <v>Stage II</v>
      </c>
      <c r="Z344" s="10">
        <f t="shared" si="45"/>
        <v>28346.49</v>
      </c>
    </row>
    <row r="345" spans="1:26">
      <c r="A345" s="1" t="s">
        <v>381</v>
      </c>
      <c r="B345" s="1">
        <v>70</v>
      </c>
      <c r="C345" s="1" t="s">
        <v>541</v>
      </c>
      <c r="D345" s="1" t="str">
        <f>PROPER(Table3[[#This Row],[Gender]])</f>
        <v>Other</v>
      </c>
      <c r="E345" s="1" t="s">
        <v>552</v>
      </c>
      <c r="F345" s="1" t="str">
        <f>PROPER(Table3[[#This Row],[Country_Region]])</f>
        <v>China</v>
      </c>
      <c r="G345" s="1">
        <v>2024</v>
      </c>
      <c r="H345" s="1">
        <v>9.1</v>
      </c>
      <c r="I345" s="1">
        <f>IF(H345="", AVERAGEIF('CLEANED DATASET'!$G$2:$G$532,G345,'CLEANED DATASET'!$H373),H345)</f>
        <v>9.1</v>
      </c>
      <c r="J345" s="1">
        <v>7.3</v>
      </c>
      <c r="K345" s="1">
        <f t="shared" si="40"/>
        <v>7.3</v>
      </c>
      <c r="L345" s="1"/>
      <c r="M345" s="3">
        <f t="shared" si="41"/>
        <v>4.6985074626865675</v>
      </c>
      <c r="N345" s="1">
        <v>0.4</v>
      </c>
      <c r="O345" s="1">
        <f t="shared" si="42"/>
        <v>0.4</v>
      </c>
      <c r="P345" s="1">
        <v>4.8</v>
      </c>
      <c r="Q345" s="1">
        <f t="shared" si="39"/>
        <v>4.8</v>
      </c>
      <c r="R345" s="1" t="s">
        <v>576</v>
      </c>
      <c r="S345" s="1" t="str">
        <f>PROPER(Table3[[#This Row],[Cancer_Type]])</f>
        <v>Cervical</v>
      </c>
      <c r="T345" s="1" t="s">
        <v>591</v>
      </c>
      <c r="U345" s="4">
        <v>24817.27</v>
      </c>
      <c r="V345" s="1">
        <v>5.3</v>
      </c>
      <c r="W345" s="1">
        <f t="shared" ca="1" si="43"/>
        <v>5</v>
      </c>
      <c r="X345" s="1">
        <v>5.85</v>
      </c>
      <c r="Y345" s="1" t="str">
        <f t="shared" si="44"/>
        <v>Stage II</v>
      </c>
      <c r="Z345" s="10">
        <f t="shared" si="45"/>
        <v>24817.27</v>
      </c>
    </row>
    <row r="346" spans="1:26">
      <c r="A346" s="1" t="s">
        <v>424</v>
      </c>
      <c r="B346" s="1">
        <v>43</v>
      </c>
      <c r="C346" s="1" t="s">
        <v>542</v>
      </c>
      <c r="D346" s="1" t="str">
        <f>PROPER(Table3[[#This Row],[Gender]])</f>
        <v>Male</v>
      </c>
      <c r="E346" s="1" t="s">
        <v>549</v>
      </c>
      <c r="F346" s="1" t="str">
        <f>PROPER(Table3[[#This Row],[Country_Region]])</f>
        <v>Australia</v>
      </c>
      <c r="G346" s="1">
        <v>2024</v>
      </c>
      <c r="H346" s="1">
        <v>0.1</v>
      </c>
      <c r="I346" s="1">
        <f>IF(H346="", AVERAGEIF('CLEANED DATASET'!$G$2:$G$532,G346,'CLEANED DATASET'!$H416),H346)</f>
        <v>0.1</v>
      </c>
      <c r="J346" s="1">
        <v>4.4000000000000004</v>
      </c>
      <c r="K346" s="1">
        <f t="shared" si="40"/>
        <v>4.4000000000000004</v>
      </c>
      <c r="L346" s="1">
        <v>7.2</v>
      </c>
      <c r="M346" s="1">
        <f t="shared" si="41"/>
        <v>7.2</v>
      </c>
      <c r="N346" s="1">
        <v>4</v>
      </c>
      <c r="O346" s="1">
        <f t="shared" si="42"/>
        <v>4</v>
      </c>
      <c r="P346" s="1">
        <v>8.8000000000000007</v>
      </c>
      <c r="Q346" s="1">
        <f t="shared" si="39"/>
        <v>8.8000000000000007</v>
      </c>
      <c r="R346" s="1" t="s">
        <v>603</v>
      </c>
      <c r="S346" s="1" t="str">
        <f>PROPER(Table3[[#This Row],[Cancer_Type]])</f>
        <v>Unknown</v>
      </c>
      <c r="T346" s="1"/>
      <c r="U346" s="4"/>
      <c r="V346" s="1">
        <v>3.7</v>
      </c>
      <c r="W346" s="1">
        <f t="shared" ca="1" si="43"/>
        <v>6</v>
      </c>
      <c r="X346" s="1">
        <v>5.29</v>
      </c>
      <c r="Y346" s="1" t="str">
        <f t="shared" si="44"/>
        <v>Stage II</v>
      </c>
      <c r="Z346" s="10">
        <f t="shared" si="45"/>
        <v>41904.53</v>
      </c>
    </row>
    <row r="347" spans="1:26">
      <c r="A347" s="1" t="s">
        <v>174</v>
      </c>
      <c r="B347" s="1">
        <v>46</v>
      </c>
      <c r="C347" s="1" t="s">
        <v>542</v>
      </c>
      <c r="D347" s="1" t="str">
        <f>PROPER(Table3[[#This Row],[Gender]])</f>
        <v>Male</v>
      </c>
      <c r="E347" s="1" t="s">
        <v>552</v>
      </c>
      <c r="F347" s="1" t="str">
        <f>PROPER(Table3[[#This Row],[Country_Region]])</f>
        <v>China</v>
      </c>
      <c r="G347" s="1">
        <v>2022</v>
      </c>
      <c r="H347" s="1"/>
      <c r="I347" s="3">
        <f ca="1">IF(H347="", AVERAGEIF('CLEANED DATASET'!$G$2:$G$532,G347,'CLEANED DATASET'!$H166),H347)</f>
        <v>4.2918032786885218</v>
      </c>
      <c r="J347" s="1">
        <v>5.6</v>
      </c>
      <c r="K347" s="1">
        <f t="shared" si="40"/>
        <v>5.6</v>
      </c>
      <c r="L347" s="1">
        <v>1.5</v>
      </c>
      <c r="M347" s="1">
        <f t="shared" si="41"/>
        <v>1.5</v>
      </c>
      <c r="N347" s="1">
        <v>3.2</v>
      </c>
      <c r="O347" s="1">
        <f t="shared" si="42"/>
        <v>3.2</v>
      </c>
      <c r="P347" s="1">
        <v>7.7</v>
      </c>
      <c r="Q347" s="1">
        <f t="shared" si="39"/>
        <v>7.7</v>
      </c>
      <c r="R347" s="1" t="s">
        <v>572</v>
      </c>
      <c r="S347" s="1" t="str">
        <f>PROPER(Table3[[#This Row],[Cancer_Type]])</f>
        <v>Leukemia</v>
      </c>
      <c r="T347" s="1" t="s">
        <v>593</v>
      </c>
      <c r="U347" s="4">
        <v>96835.31</v>
      </c>
      <c r="V347" s="1">
        <v>9.1999999999999993</v>
      </c>
      <c r="W347" s="1">
        <f t="shared" ca="1" si="43"/>
        <v>8</v>
      </c>
      <c r="X347" s="1">
        <v>2.6</v>
      </c>
      <c r="Y347" s="1" t="str">
        <f t="shared" si="44"/>
        <v>Stage I</v>
      </c>
      <c r="Z347" s="10">
        <f t="shared" si="45"/>
        <v>96835.31</v>
      </c>
    </row>
    <row r="348" spans="1:26">
      <c r="A348" s="1" t="s">
        <v>278</v>
      </c>
      <c r="B348" s="1">
        <v>74</v>
      </c>
      <c r="C348" s="1" t="s">
        <v>541</v>
      </c>
      <c r="D348" s="1" t="str">
        <f>PROPER(Table3[[#This Row],[Gender]])</f>
        <v>Other</v>
      </c>
      <c r="E348" s="1" t="s">
        <v>550</v>
      </c>
      <c r="F348" s="1" t="str">
        <f>PROPER(Table3[[#This Row],[Country_Region]])</f>
        <v>Pakistan</v>
      </c>
      <c r="G348" s="1">
        <v>2022</v>
      </c>
      <c r="H348" s="1">
        <v>2</v>
      </c>
      <c r="I348" s="1">
        <f>IF(H348="", AVERAGEIF('CLEANED DATASET'!$G$2:$G$532,G348,'CLEANED DATASET'!$H270),H348)</f>
        <v>2</v>
      </c>
      <c r="J348" s="1">
        <v>3.9</v>
      </c>
      <c r="K348" s="1">
        <f t="shared" si="40"/>
        <v>3.9</v>
      </c>
      <c r="L348" s="1">
        <v>8.8000000000000007</v>
      </c>
      <c r="M348" s="1">
        <f t="shared" si="41"/>
        <v>8.8000000000000007</v>
      </c>
      <c r="N348" s="1">
        <v>3.2</v>
      </c>
      <c r="O348" s="1">
        <f t="shared" si="42"/>
        <v>3.2</v>
      </c>
      <c r="P348" s="1">
        <v>8.1999999999999993</v>
      </c>
      <c r="Q348" s="1">
        <f t="shared" si="39"/>
        <v>8.1999999999999993</v>
      </c>
      <c r="R348" s="1" t="s">
        <v>571</v>
      </c>
      <c r="S348" s="1" t="str">
        <f>PROPER(Table3[[#This Row],[Cancer_Type]])</f>
        <v>Lung</v>
      </c>
      <c r="T348" s="1" t="s">
        <v>593</v>
      </c>
      <c r="U348" s="4">
        <v>16546.52</v>
      </c>
      <c r="V348" s="1">
        <v>5.7</v>
      </c>
      <c r="W348" s="1">
        <f t="shared" ca="1" si="43"/>
        <v>5</v>
      </c>
      <c r="X348" s="1">
        <v>5.43</v>
      </c>
      <c r="Y348" s="1" t="str">
        <f t="shared" si="44"/>
        <v>Stage II</v>
      </c>
      <c r="Z348" s="10">
        <f t="shared" si="45"/>
        <v>16546.52</v>
      </c>
    </row>
    <row r="349" spans="1:26">
      <c r="A349" s="1" t="s">
        <v>67</v>
      </c>
      <c r="B349" s="1">
        <v>33</v>
      </c>
      <c r="C349" s="1" t="s">
        <v>541</v>
      </c>
      <c r="D349" s="1" t="str">
        <f>PROPER(Table3[[#This Row],[Gender]])</f>
        <v>Other</v>
      </c>
      <c r="E349" s="1" t="s">
        <v>555</v>
      </c>
      <c r="F349" s="1" t="str">
        <f>PROPER(Table3[[#This Row],[Country_Region]])</f>
        <v>Russia</v>
      </c>
      <c r="G349" s="1">
        <v>2023</v>
      </c>
      <c r="H349" s="1"/>
      <c r="I349" s="3">
        <f ca="1">IF(H349="", AVERAGEIF('CLEANED DATASET'!$G$2:$G$532,G349,'CLEANED DATASET'!$H59),H349)</f>
        <v>5.4954248366013045</v>
      </c>
      <c r="J349" s="1">
        <v>8.3000000000000007</v>
      </c>
      <c r="K349" s="1">
        <f t="shared" si="40"/>
        <v>8.3000000000000007</v>
      </c>
      <c r="L349" s="1">
        <v>5.9</v>
      </c>
      <c r="M349" s="1">
        <f t="shared" si="41"/>
        <v>5.9</v>
      </c>
      <c r="N349" s="1">
        <v>2.2000000000000002</v>
      </c>
      <c r="O349" s="1">
        <f t="shared" si="42"/>
        <v>2.2000000000000002</v>
      </c>
      <c r="P349" s="1">
        <v>7</v>
      </c>
      <c r="Q349" s="1">
        <f t="shared" si="39"/>
        <v>7</v>
      </c>
      <c r="R349" s="1" t="s">
        <v>571</v>
      </c>
      <c r="S349" s="1" t="str">
        <f>PROPER(Table3[[#This Row],[Cancer_Type]])</f>
        <v>Lung</v>
      </c>
      <c r="T349" s="1" t="s">
        <v>590</v>
      </c>
      <c r="U349" s="4">
        <v>36206.33</v>
      </c>
      <c r="V349" s="1">
        <v>9.6</v>
      </c>
      <c r="W349" s="1">
        <f t="shared" ca="1" si="43"/>
        <v>4</v>
      </c>
      <c r="X349" s="1">
        <v>6.13</v>
      </c>
      <c r="Y349" s="1" t="str">
        <f t="shared" si="44"/>
        <v>Stage III</v>
      </c>
      <c r="Z349" s="10">
        <f t="shared" si="45"/>
        <v>36206.33</v>
      </c>
    </row>
    <row r="350" spans="1:26">
      <c r="A350" s="1" t="s">
        <v>486</v>
      </c>
      <c r="B350" s="1">
        <v>85</v>
      </c>
      <c r="C350" s="1" t="s">
        <v>543</v>
      </c>
      <c r="D350" s="1" t="str">
        <f>PROPER(Table3[[#This Row],[Gender]])</f>
        <v>Female</v>
      </c>
      <c r="E350" s="1" t="s">
        <v>551</v>
      </c>
      <c r="F350" s="1" t="str">
        <f>PROPER(Table3[[#This Row],[Country_Region]])</f>
        <v>Germany</v>
      </c>
      <c r="G350" s="1">
        <v>2024</v>
      </c>
      <c r="H350" s="1">
        <v>1</v>
      </c>
      <c r="I350" s="1">
        <f>IF(H350="", AVERAGEIF('CLEANED DATASET'!$G$2:$G$532,G350,'CLEANED DATASET'!$H478),H350)</f>
        <v>1</v>
      </c>
      <c r="J350" s="1">
        <v>5</v>
      </c>
      <c r="K350" s="1">
        <f t="shared" si="40"/>
        <v>5</v>
      </c>
      <c r="L350" s="1">
        <v>5.8</v>
      </c>
      <c r="M350" s="1">
        <f t="shared" si="41"/>
        <v>5.8</v>
      </c>
      <c r="N350" s="1">
        <v>9.8000000000000007</v>
      </c>
      <c r="O350" s="1">
        <f t="shared" si="42"/>
        <v>9.8000000000000007</v>
      </c>
      <c r="P350" s="1">
        <v>3.8</v>
      </c>
      <c r="Q350" s="1">
        <f t="shared" si="39"/>
        <v>3.8</v>
      </c>
      <c r="R350" s="1" t="s">
        <v>571</v>
      </c>
      <c r="S350" s="1" t="str">
        <f>PROPER(Table3[[#This Row],[Cancer_Type]])</f>
        <v>Lung</v>
      </c>
      <c r="T350" s="1" t="s">
        <v>592</v>
      </c>
      <c r="U350" s="4">
        <v>68583.06</v>
      </c>
      <c r="V350" s="1">
        <v>3.6</v>
      </c>
      <c r="W350" s="1">
        <f t="shared" ca="1" si="43"/>
        <v>6</v>
      </c>
      <c r="X350" s="1">
        <v>4.79</v>
      </c>
      <c r="Y350" s="1" t="str">
        <f t="shared" si="44"/>
        <v>Stage II</v>
      </c>
      <c r="Z350" s="10">
        <f t="shared" si="45"/>
        <v>68583.06</v>
      </c>
    </row>
    <row r="351" spans="1:26">
      <c r="A351" s="1" t="s">
        <v>343</v>
      </c>
      <c r="B351" s="1">
        <v>46</v>
      </c>
      <c r="C351" s="1" t="s">
        <v>546</v>
      </c>
      <c r="D351" s="1" t="str">
        <f>PROPER(Table3[[#This Row],[Gender]])</f>
        <v>Unknown</v>
      </c>
      <c r="E351" s="1" t="s">
        <v>552</v>
      </c>
      <c r="F351" s="1" t="str">
        <f>PROPER(Table3[[#This Row],[Country_Region]])</f>
        <v>China</v>
      </c>
      <c r="G351" s="1">
        <v>2023</v>
      </c>
      <c r="H351" s="1">
        <v>6</v>
      </c>
      <c r="I351" s="1">
        <f>IF(H351="", AVERAGEIF('CLEANED DATASET'!$G$2:$G$532,G351,'CLEANED DATASET'!$H335),H351)</f>
        <v>6</v>
      </c>
      <c r="J351" s="1"/>
      <c r="K351" s="1">
        <f t="shared" si="40"/>
        <v>4.3</v>
      </c>
      <c r="L351" s="1">
        <v>0.9</v>
      </c>
      <c r="M351" s="1">
        <f t="shared" si="41"/>
        <v>0.9</v>
      </c>
      <c r="N351" s="1">
        <v>4.0999999999999996</v>
      </c>
      <c r="O351" s="1">
        <f t="shared" si="42"/>
        <v>4.0999999999999996</v>
      </c>
      <c r="P351" s="1">
        <v>2.2999999999999998</v>
      </c>
      <c r="Q351" s="1">
        <f t="shared" si="39"/>
        <v>2.2999999999999998</v>
      </c>
      <c r="R351" s="1" t="s">
        <v>572</v>
      </c>
      <c r="S351" s="1" t="str">
        <f>PROPER(Table3[[#This Row],[Cancer_Type]])</f>
        <v>Leukemia</v>
      </c>
      <c r="T351" s="1" t="s">
        <v>592</v>
      </c>
      <c r="U351" s="4">
        <v>8960.42</v>
      </c>
      <c r="V351" s="1">
        <v>2.2999999999999998</v>
      </c>
      <c r="W351" s="1">
        <f t="shared" ca="1" si="43"/>
        <v>5</v>
      </c>
      <c r="X351" s="1">
        <v>4.96</v>
      </c>
      <c r="Y351" s="1" t="str">
        <f t="shared" si="44"/>
        <v>Stage II</v>
      </c>
      <c r="Z351" s="10">
        <f t="shared" si="45"/>
        <v>8960.42</v>
      </c>
    </row>
    <row r="352" spans="1:26">
      <c r="A352" s="1" t="s">
        <v>157</v>
      </c>
      <c r="B352" s="1">
        <v>37</v>
      </c>
      <c r="C352" s="1" t="s">
        <v>541</v>
      </c>
      <c r="D352" s="1" t="str">
        <f>PROPER(Table3[[#This Row],[Gender]])</f>
        <v>Other</v>
      </c>
      <c r="E352" s="1" t="s">
        <v>554</v>
      </c>
      <c r="F352" s="1" t="str">
        <f>PROPER(Table3[[#This Row],[Country_Region]])</f>
        <v>Brazil</v>
      </c>
      <c r="G352" s="1">
        <v>2023</v>
      </c>
      <c r="H352" s="1">
        <v>9.6</v>
      </c>
      <c r="I352" s="1">
        <f>IF(H352="", AVERAGEIF('CLEANED DATASET'!$G$2:$G$532,G352,'CLEANED DATASET'!$H149),H352)</f>
        <v>9.6</v>
      </c>
      <c r="J352" s="1">
        <v>7.7</v>
      </c>
      <c r="K352" s="1">
        <f t="shared" si="40"/>
        <v>7.7</v>
      </c>
      <c r="L352" s="1">
        <v>2.4</v>
      </c>
      <c r="M352" s="1">
        <f t="shared" si="41"/>
        <v>2.4</v>
      </c>
      <c r="N352" s="1">
        <v>3.3</v>
      </c>
      <c r="O352" s="1">
        <f t="shared" si="42"/>
        <v>3.3</v>
      </c>
      <c r="P352" s="1">
        <v>3.8</v>
      </c>
      <c r="Q352" s="1">
        <f t="shared" si="39"/>
        <v>3.8</v>
      </c>
      <c r="R352" s="1" t="s">
        <v>573</v>
      </c>
      <c r="S352" s="1" t="str">
        <f>PROPER(Table3[[#This Row],[Cancer_Type]])</f>
        <v>Breast</v>
      </c>
      <c r="T352" s="1" t="s">
        <v>594</v>
      </c>
      <c r="U352" s="4">
        <v>73209.259999999995</v>
      </c>
      <c r="V352" s="1">
        <v>4.8</v>
      </c>
      <c r="W352" s="1">
        <f t="shared" ca="1" si="43"/>
        <v>6</v>
      </c>
      <c r="X352" s="1">
        <v>5.01</v>
      </c>
      <c r="Y352" s="1" t="str">
        <f t="shared" si="44"/>
        <v>Stage II</v>
      </c>
      <c r="Z352" s="10">
        <f t="shared" si="45"/>
        <v>73209.259999999995</v>
      </c>
    </row>
    <row r="353" spans="1:26">
      <c r="A353" s="1" t="s">
        <v>103</v>
      </c>
      <c r="B353" s="1">
        <v>82</v>
      </c>
      <c r="C353" s="1" t="s">
        <v>543</v>
      </c>
      <c r="D353" s="1" t="str">
        <f>PROPER(Table3[[#This Row],[Gender]])</f>
        <v>Female</v>
      </c>
      <c r="E353" s="1" t="s">
        <v>554</v>
      </c>
      <c r="F353" s="1" t="str">
        <f>PROPER(Table3[[#This Row],[Country_Region]])</f>
        <v>Brazil</v>
      </c>
      <c r="G353" s="1">
        <v>2024</v>
      </c>
      <c r="H353" s="1">
        <v>9.5</v>
      </c>
      <c r="I353" s="1">
        <f>IF(H353="", AVERAGEIF('CLEANED DATASET'!$G$2:$G$532,G353,'CLEANED DATASET'!$H95),H353)</f>
        <v>9.5</v>
      </c>
      <c r="J353" s="1">
        <v>7.6</v>
      </c>
      <c r="K353" s="1">
        <f t="shared" si="40"/>
        <v>7.6</v>
      </c>
      <c r="L353" s="1">
        <v>4.3</v>
      </c>
      <c r="M353" s="1">
        <f t="shared" si="41"/>
        <v>4.3</v>
      </c>
      <c r="N353" s="1">
        <v>5.4</v>
      </c>
      <c r="O353" s="1">
        <f t="shared" si="42"/>
        <v>5.4</v>
      </c>
      <c r="P353" s="1">
        <v>9</v>
      </c>
      <c r="Q353" s="1">
        <f t="shared" ref="Q353:Q384" si="46">IF(P353="",AVERAGEIF(G353:G883,G353,P353:P883),P353)</f>
        <v>9</v>
      </c>
      <c r="R353" s="1" t="s">
        <v>574</v>
      </c>
      <c r="S353" s="1" t="str">
        <f>PROPER(Table3[[#This Row],[Cancer_Type]])</f>
        <v>Colon</v>
      </c>
      <c r="T353" s="1" t="s">
        <v>592</v>
      </c>
      <c r="U353" s="4">
        <v>82796.42</v>
      </c>
      <c r="V353" s="1">
        <v>8.3000000000000007</v>
      </c>
      <c r="W353" s="1">
        <f t="shared" ca="1" si="43"/>
        <v>3</v>
      </c>
      <c r="X353" s="1">
        <v>6.01</v>
      </c>
      <c r="Y353" s="1" t="str">
        <f t="shared" si="44"/>
        <v>Stage III</v>
      </c>
      <c r="Z353" s="10">
        <f t="shared" si="45"/>
        <v>82796.42</v>
      </c>
    </row>
    <row r="354" spans="1:26">
      <c r="A354" s="1" t="s">
        <v>263</v>
      </c>
      <c r="B354" s="1">
        <v>24</v>
      </c>
      <c r="C354" s="1" t="s">
        <v>542</v>
      </c>
      <c r="D354" s="1" t="str">
        <f>PROPER(Table3[[#This Row],[Gender]])</f>
        <v>Male</v>
      </c>
      <c r="E354" s="1" t="s">
        <v>554</v>
      </c>
      <c r="F354" s="1" t="str">
        <f>PROPER(Table3[[#This Row],[Country_Region]])</f>
        <v>Brazil</v>
      </c>
      <c r="G354" s="1">
        <v>2023</v>
      </c>
      <c r="H354" s="1">
        <v>4.3</v>
      </c>
      <c r="I354" s="1">
        <f>IF(H354="", AVERAGEIF('CLEANED DATASET'!$G$2:$G$532,G354,'CLEANED DATASET'!$H255),H354)</f>
        <v>4.3</v>
      </c>
      <c r="J354" s="1">
        <v>5.9</v>
      </c>
      <c r="K354" s="1">
        <f t="shared" si="40"/>
        <v>5.9</v>
      </c>
      <c r="L354" s="1">
        <v>5.0999999999999996</v>
      </c>
      <c r="M354" s="1">
        <f t="shared" si="41"/>
        <v>5.0999999999999996</v>
      </c>
      <c r="N354" s="1">
        <v>1</v>
      </c>
      <c r="O354" s="1">
        <f t="shared" si="42"/>
        <v>1</v>
      </c>
      <c r="P354" s="1">
        <v>9.3000000000000007</v>
      </c>
      <c r="Q354" s="1">
        <f t="shared" si="46"/>
        <v>9.3000000000000007</v>
      </c>
      <c r="R354" s="1" t="s">
        <v>573</v>
      </c>
      <c r="S354" s="1" t="str">
        <f>PROPER(Table3[[#This Row],[Cancer_Type]])</f>
        <v>Breast</v>
      </c>
      <c r="T354" s="1" t="s">
        <v>593</v>
      </c>
      <c r="U354" s="4">
        <v>76895.75</v>
      </c>
      <c r="V354" s="1">
        <v>8</v>
      </c>
      <c r="W354" s="1">
        <f t="shared" ca="1" si="43"/>
        <v>6</v>
      </c>
      <c r="X354" s="1">
        <v>4.0999999999999996</v>
      </c>
      <c r="Y354" s="1" t="str">
        <f t="shared" si="44"/>
        <v>Stage II</v>
      </c>
      <c r="Z354" s="10">
        <f t="shared" si="45"/>
        <v>76895.75</v>
      </c>
    </row>
    <row r="355" spans="1:26">
      <c r="A355" s="1" t="s">
        <v>437</v>
      </c>
      <c r="B355" s="1">
        <v>54</v>
      </c>
      <c r="C355" s="1" t="s">
        <v>541</v>
      </c>
      <c r="D355" s="1" t="str">
        <f>PROPER(Table3[[#This Row],[Gender]])</f>
        <v>Other</v>
      </c>
      <c r="E355" s="1" t="s">
        <v>549</v>
      </c>
      <c r="F355" s="1" t="str">
        <f>PROPER(Table3[[#This Row],[Country_Region]])</f>
        <v>Australia</v>
      </c>
      <c r="G355" s="1">
        <v>2024</v>
      </c>
      <c r="H355" s="1">
        <v>2.7</v>
      </c>
      <c r="I355" s="1">
        <f>IF(H355="", AVERAGEIF('CLEANED DATASET'!$G$2:$G$532,G355,'CLEANED DATASET'!$H429),H355)</f>
        <v>2.7</v>
      </c>
      <c r="J355" s="1">
        <v>1.2</v>
      </c>
      <c r="K355" s="1">
        <f t="shared" si="40"/>
        <v>1.2</v>
      </c>
      <c r="L355" s="1">
        <v>1.1000000000000001</v>
      </c>
      <c r="M355" s="1">
        <f t="shared" si="41"/>
        <v>1.1000000000000001</v>
      </c>
      <c r="N355" s="1">
        <v>3.9</v>
      </c>
      <c r="O355" s="1">
        <f t="shared" si="42"/>
        <v>3.9</v>
      </c>
      <c r="P355" s="1">
        <v>8.6</v>
      </c>
      <c r="Q355" s="1">
        <f t="shared" si="46"/>
        <v>8.6</v>
      </c>
      <c r="R355" s="1" t="s">
        <v>571</v>
      </c>
      <c r="S355" s="1" t="str">
        <f>PROPER(Table3[[#This Row],[Cancer_Type]])</f>
        <v>Lung</v>
      </c>
      <c r="T355" s="1" t="s">
        <v>592</v>
      </c>
      <c r="U355" s="4">
        <v>47746.06</v>
      </c>
      <c r="V355" s="1">
        <v>9.6</v>
      </c>
      <c r="W355" s="1">
        <f t="shared" ca="1" si="43"/>
        <v>7</v>
      </c>
      <c r="X355" s="1">
        <v>3.57</v>
      </c>
      <c r="Y355" s="1" t="str">
        <f t="shared" si="44"/>
        <v>Stage I</v>
      </c>
      <c r="Z355" s="10">
        <f t="shared" si="45"/>
        <v>47746.06</v>
      </c>
    </row>
    <row r="356" spans="1:26">
      <c r="A356" s="1" t="s">
        <v>449</v>
      </c>
      <c r="B356" s="1">
        <v>32</v>
      </c>
      <c r="C356" s="1" t="s">
        <v>541</v>
      </c>
      <c r="D356" s="1" t="str">
        <f>PROPER(Table3[[#This Row],[Gender]])</f>
        <v>Other</v>
      </c>
      <c r="E356" s="1" t="s">
        <v>560</v>
      </c>
      <c r="F356" s="1" t="str">
        <f>PROPER(Table3[[#This Row],[Country_Region]])</f>
        <v>Usa</v>
      </c>
      <c r="G356" s="1">
        <v>2023</v>
      </c>
      <c r="H356" s="1">
        <v>1.9</v>
      </c>
      <c r="I356" s="1">
        <f>IF(H356="", AVERAGEIF('CLEANED DATASET'!$G$2:$G$532,G356,'CLEANED DATASET'!$H441),H356)</f>
        <v>1.9</v>
      </c>
      <c r="J356" s="1">
        <v>1.2</v>
      </c>
      <c r="K356" s="1">
        <f t="shared" si="40"/>
        <v>1.2</v>
      </c>
      <c r="L356" s="1">
        <v>5.6</v>
      </c>
      <c r="M356" s="1">
        <f t="shared" si="41"/>
        <v>5.6</v>
      </c>
      <c r="N356" s="1">
        <v>7.2</v>
      </c>
      <c r="O356" s="1">
        <f t="shared" si="42"/>
        <v>7.2</v>
      </c>
      <c r="P356" s="1">
        <v>6.7</v>
      </c>
      <c r="Q356" s="1">
        <f t="shared" si="46"/>
        <v>6.7</v>
      </c>
      <c r="R356" s="1" t="s">
        <v>570</v>
      </c>
      <c r="S356" s="1" t="str">
        <f>PROPER(Table3[[#This Row],[Cancer_Type]])</f>
        <v>Skin</v>
      </c>
      <c r="T356" s="1" t="s">
        <v>594</v>
      </c>
      <c r="U356" s="4">
        <v>69501.759999999995</v>
      </c>
      <c r="V356" s="1">
        <v>4.5</v>
      </c>
      <c r="W356" s="1">
        <f t="shared" ca="1" si="43"/>
        <v>6</v>
      </c>
      <c r="X356" s="1">
        <v>4.12</v>
      </c>
      <c r="Y356" s="1" t="str">
        <f t="shared" si="44"/>
        <v>Stage II</v>
      </c>
      <c r="Z356" s="10">
        <f t="shared" si="45"/>
        <v>69501.759999999995</v>
      </c>
    </row>
    <row r="357" spans="1:26">
      <c r="A357" s="1" t="s">
        <v>404</v>
      </c>
      <c r="B357" s="1">
        <v>25</v>
      </c>
      <c r="C357" s="1" t="s">
        <v>541</v>
      </c>
      <c r="D357" s="1" t="str">
        <f>PROPER(Table3[[#This Row],[Gender]])</f>
        <v>Other</v>
      </c>
      <c r="E357" s="1" t="s">
        <v>553</v>
      </c>
      <c r="F357" s="1" t="str">
        <f>PROPER(Table3[[#This Row],[Country_Region]])</f>
        <v>Canada</v>
      </c>
      <c r="G357" s="1">
        <v>2022</v>
      </c>
      <c r="H357" s="1">
        <v>5.2</v>
      </c>
      <c r="I357" s="1">
        <f>IF(H357="", AVERAGEIF('CLEANED DATASET'!$G$2:$G$532,G357,'CLEANED DATASET'!$H396),H357)</f>
        <v>5.2</v>
      </c>
      <c r="J357" s="1">
        <v>3.6</v>
      </c>
      <c r="K357" s="1">
        <f t="shared" si="40"/>
        <v>3.6</v>
      </c>
      <c r="L357" s="1">
        <v>2.8</v>
      </c>
      <c r="M357" s="1">
        <f t="shared" si="41"/>
        <v>2.8</v>
      </c>
      <c r="N357" s="1">
        <v>7.9</v>
      </c>
      <c r="O357" s="1">
        <f t="shared" si="42"/>
        <v>7.9</v>
      </c>
      <c r="P357" s="1">
        <v>1.9</v>
      </c>
      <c r="Q357" s="1">
        <f t="shared" si="46"/>
        <v>1.9</v>
      </c>
      <c r="R357" s="1" t="s">
        <v>603</v>
      </c>
      <c r="S357" s="1" t="str">
        <f>PROPER(Table3[[#This Row],[Cancer_Type]])</f>
        <v>Unknown</v>
      </c>
      <c r="T357" s="1" t="s">
        <v>594</v>
      </c>
      <c r="U357" s="4">
        <v>48798.45</v>
      </c>
      <c r="V357" s="1">
        <v>0</v>
      </c>
      <c r="W357" s="1">
        <f t="shared" ca="1" si="43"/>
        <v>6</v>
      </c>
      <c r="X357" s="1">
        <v>4.79</v>
      </c>
      <c r="Y357" s="1" t="str">
        <f t="shared" si="44"/>
        <v>Stage II</v>
      </c>
      <c r="Z357" s="10">
        <f t="shared" si="45"/>
        <v>48798.45</v>
      </c>
    </row>
    <row r="358" spans="1:26">
      <c r="A358" s="1" t="s">
        <v>513</v>
      </c>
      <c r="B358" s="1">
        <v>83</v>
      </c>
      <c r="C358" s="1" t="s">
        <v>543</v>
      </c>
      <c r="D358" s="1" t="str">
        <f>PROPER(Table3[[#This Row],[Gender]])</f>
        <v>Female</v>
      </c>
      <c r="E358" s="1" t="s">
        <v>552</v>
      </c>
      <c r="F358" s="1" t="str">
        <f>PROPER(Table3[[#This Row],[Country_Region]])</f>
        <v>China</v>
      </c>
      <c r="G358" s="1">
        <v>2023</v>
      </c>
      <c r="H358" s="1">
        <v>1.7</v>
      </c>
      <c r="I358" s="1">
        <f>IF(H358="", AVERAGEIF('CLEANED DATASET'!$G$2:$G$532,G358,'CLEANED DATASET'!$H505),H358)</f>
        <v>1.7</v>
      </c>
      <c r="J358" s="1">
        <v>1.6</v>
      </c>
      <c r="K358" s="1">
        <f t="shared" si="40"/>
        <v>1.6</v>
      </c>
      <c r="L358" s="1">
        <v>4.0999999999999996</v>
      </c>
      <c r="M358" s="1">
        <f t="shared" si="41"/>
        <v>4.0999999999999996</v>
      </c>
      <c r="N358" s="1">
        <v>1.1000000000000001</v>
      </c>
      <c r="O358" s="1">
        <f t="shared" si="42"/>
        <v>1.1000000000000001</v>
      </c>
      <c r="P358" s="1">
        <v>4.7</v>
      </c>
      <c r="Q358" s="1">
        <f t="shared" si="46"/>
        <v>4.7</v>
      </c>
      <c r="R358" s="1" t="s">
        <v>579</v>
      </c>
      <c r="S358" s="1" t="str">
        <f>PROPER(Table3[[#This Row],[Cancer_Type]])</f>
        <v>Prostate</v>
      </c>
      <c r="T358" s="1" t="s">
        <v>594</v>
      </c>
      <c r="U358" s="4">
        <v>64781.63</v>
      </c>
      <c r="V358" s="1">
        <v>5.5</v>
      </c>
      <c r="W358" s="1">
        <f t="shared" ca="1" si="43"/>
        <v>8</v>
      </c>
      <c r="X358" s="1">
        <v>2.59</v>
      </c>
      <c r="Y358" s="1" t="str">
        <f t="shared" si="44"/>
        <v>Stage I</v>
      </c>
      <c r="Z358" s="10">
        <f t="shared" si="45"/>
        <v>64781.63</v>
      </c>
    </row>
    <row r="359" spans="1:26">
      <c r="A359" s="1" t="s">
        <v>212</v>
      </c>
      <c r="B359" s="1">
        <v>64</v>
      </c>
      <c r="C359" s="1" t="s">
        <v>543</v>
      </c>
      <c r="D359" s="1" t="str">
        <f>PROPER(Table3[[#This Row],[Gender]])</f>
        <v>Female</v>
      </c>
      <c r="E359" s="1" t="s">
        <v>556</v>
      </c>
      <c r="F359" s="1" t="str">
        <f>PROPER(Table3[[#This Row],[Country_Region]])</f>
        <v>India</v>
      </c>
      <c r="G359" s="1">
        <v>2023</v>
      </c>
      <c r="H359" s="1"/>
      <c r="I359" s="3">
        <f ca="1">IF(H359="", AVERAGEIF('CLEANED DATASET'!$G$2:$G$532,G359,'CLEANED DATASET'!$H204),H359)</f>
        <v>4.9403669724770625</v>
      </c>
      <c r="J359" s="1">
        <v>0.7</v>
      </c>
      <c r="K359" s="1">
        <f t="shared" si="40"/>
        <v>0.7</v>
      </c>
      <c r="L359" s="1">
        <v>0.5</v>
      </c>
      <c r="M359" s="1">
        <f t="shared" si="41"/>
        <v>0.5</v>
      </c>
      <c r="N359" s="1">
        <v>5.3</v>
      </c>
      <c r="O359" s="1">
        <f t="shared" si="42"/>
        <v>5.3</v>
      </c>
      <c r="P359" s="1">
        <v>5.2</v>
      </c>
      <c r="Q359" s="1">
        <f t="shared" si="46"/>
        <v>5.2</v>
      </c>
      <c r="R359" s="1" t="s">
        <v>573</v>
      </c>
      <c r="S359" s="1" t="str">
        <f>PROPER(Table3[[#This Row],[Cancer_Type]])</f>
        <v>Breast</v>
      </c>
      <c r="T359" s="1" t="s">
        <v>591</v>
      </c>
      <c r="U359" s="4">
        <v>13271.38</v>
      </c>
      <c r="V359" s="1">
        <v>4.8</v>
      </c>
      <c r="W359" s="1">
        <f t="shared" ca="1" si="43"/>
        <v>5</v>
      </c>
      <c r="X359" s="1">
        <v>5.13</v>
      </c>
      <c r="Y359" s="1" t="str">
        <f t="shared" si="44"/>
        <v>Stage II</v>
      </c>
      <c r="Z359" s="10">
        <f t="shared" si="45"/>
        <v>13271.38</v>
      </c>
    </row>
    <row r="360" spans="1:26">
      <c r="A360" s="1" t="s">
        <v>377</v>
      </c>
      <c r="B360" s="1">
        <v>84</v>
      </c>
      <c r="C360" s="1" t="s">
        <v>543</v>
      </c>
      <c r="D360" s="1" t="str">
        <f>PROPER(Table3[[#This Row],[Gender]])</f>
        <v>Female</v>
      </c>
      <c r="E360" s="1" t="s">
        <v>551</v>
      </c>
      <c r="F360" s="1" t="str">
        <f>PROPER(Table3[[#This Row],[Country_Region]])</f>
        <v>Germany</v>
      </c>
      <c r="G360" s="1">
        <v>2022</v>
      </c>
      <c r="H360" s="1">
        <v>0.2</v>
      </c>
      <c r="I360" s="1">
        <f>IF(H360="", AVERAGEIF('CLEANED DATASET'!$G$2:$G$532,G360,'CLEANED DATASET'!$H369),H360)</f>
        <v>0.2</v>
      </c>
      <c r="J360" s="1">
        <v>7.2</v>
      </c>
      <c r="K360" s="1">
        <f t="shared" si="40"/>
        <v>7.2</v>
      </c>
      <c r="L360" s="1">
        <v>0.6</v>
      </c>
      <c r="M360" s="1">
        <f t="shared" si="41"/>
        <v>0.6</v>
      </c>
      <c r="N360" s="1">
        <v>8.1</v>
      </c>
      <c r="O360" s="1">
        <f t="shared" si="42"/>
        <v>8.1</v>
      </c>
      <c r="P360" s="1">
        <v>0.1</v>
      </c>
      <c r="Q360" s="1">
        <f t="shared" si="46"/>
        <v>0.1</v>
      </c>
      <c r="R360" s="1" t="s">
        <v>585</v>
      </c>
      <c r="S360" s="1" t="str">
        <f>PROPER(Table3[[#This Row],[Cancer_Type]])</f>
        <v>Prostate</v>
      </c>
      <c r="T360" s="1" t="s">
        <v>592</v>
      </c>
      <c r="U360" s="4">
        <v>79795.14</v>
      </c>
      <c r="V360" s="1">
        <v>1.9</v>
      </c>
      <c r="W360" s="1">
        <f t="shared" ca="1" si="43"/>
        <v>8</v>
      </c>
      <c r="X360" s="1">
        <v>3.24</v>
      </c>
      <c r="Y360" s="1" t="str">
        <f t="shared" si="44"/>
        <v>Stage I</v>
      </c>
      <c r="Z360" s="10">
        <f t="shared" si="45"/>
        <v>79795.14</v>
      </c>
    </row>
    <row r="361" spans="1:26">
      <c r="A361" s="1" t="s">
        <v>236</v>
      </c>
      <c r="B361" s="1">
        <v>21</v>
      </c>
      <c r="C361" s="1" t="s">
        <v>542</v>
      </c>
      <c r="D361" s="1" t="str">
        <f>PROPER(Table3[[#This Row],[Gender]])</f>
        <v>Male</v>
      </c>
      <c r="E361" s="1" t="s">
        <v>621</v>
      </c>
      <c r="F361" s="1" t="str">
        <f>PROPER(Table3[[#This Row],[Country_Region]])</f>
        <v>Brazil</v>
      </c>
      <c r="G361" s="1">
        <v>2023</v>
      </c>
      <c r="H361" s="1">
        <v>3.2</v>
      </c>
      <c r="I361" s="1">
        <f>IF(H361="", AVERAGEIF('CLEANED DATASET'!$G$2:$G$532,G361,'CLEANED DATASET'!$H228),H361)</f>
        <v>3.2</v>
      </c>
      <c r="J361" s="1">
        <v>8.6999999999999993</v>
      </c>
      <c r="K361" s="1">
        <f t="shared" si="40"/>
        <v>8.6999999999999993</v>
      </c>
      <c r="L361" s="1">
        <v>4.8</v>
      </c>
      <c r="M361" s="1">
        <f t="shared" si="41"/>
        <v>4.8</v>
      </c>
      <c r="N361" s="1">
        <v>7.4</v>
      </c>
      <c r="O361" s="1">
        <f t="shared" si="42"/>
        <v>7.4</v>
      </c>
      <c r="P361" s="1">
        <v>0.8</v>
      </c>
      <c r="Q361" s="1">
        <f t="shared" si="46"/>
        <v>0.8</v>
      </c>
      <c r="R361" s="1" t="s">
        <v>578</v>
      </c>
      <c r="S361" s="1" t="str">
        <f>PROPER(Table3[[#This Row],[Cancer_Type]])</f>
        <v>Liver</v>
      </c>
      <c r="T361" s="1" t="s">
        <v>593</v>
      </c>
      <c r="U361" s="4">
        <v>64777.89</v>
      </c>
      <c r="V361" s="1">
        <v>3.3</v>
      </c>
      <c r="W361" s="1">
        <f t="shared" ca="1" si="43"/>
        <v>2</v>
      </c>
      <c r="X361" s="3">
        <f>ROUND(I361+K361+M361+O361+Q361+(10-V361)/6, 2)</f>
        <v>26.02</v>
      </c>
      <c r="Y361" s="1" t="str">
        <f t="shared" si="44"/>
        <v>Stage IV</v>
      </c>
      <c r="Z361" s="10">
        <f t="shared" si="45"/>
        <v>64777.89</v>
      </c>
    </row>
    <row r="362" spans="1:26">
      <c r="A362" s="1" t="s">
        <v>272</v>
      </c>
      <c r="B362" s="1">
        <v>44</v>
      </c>
      <c r="C362" s="1" t="s">
        <v>542</v>
      </c>
      <c r="D362" s="1" t="str">
        <f>PROPER(Table3[[#This Row],[Gender]])</f>
        <v>Male</v>
      </c>
      <c r="E362" s="1" t="s">
        <v>555</v>
      </c>
      <c r="F362" s="1" t="str">
        <f>PROPER(Table3[[#This Row],[Country_Region]])</f>
        <v>Russia</v>
      </c>
      <c r="G362" s="1">
        <v>2023</v>
      </c>
      <c r="H362" s="1">
        <v>2.2999999999999998</v>
      </c>
      <c r="I362" s="1">
        <f>IF(H362="", AVERAGEIF('CLEANED DATASET'!$G$2:$G$532,G362,'CLEANED DATASET'!$H264),H362)</f>
        <v>2.2999999999999998</v>
      </c>
      <c r="J362" s="1">
        <v>8.4</v>
      </c>
      <c r="K362" s="1">
        <f t="shared" si="40"/>
        <v>8.4</v>
      </c>
      <c r="L362" s="1">
        <v>9.5</v>
      </c>
      <c r="M362" s="1">
        <f t="shared" si="41"/>
        <v>9.5</v>
      </c>
      <c r="N362" s="1">
        <v>2.2000000000000002</v>
      </c>
      <c r="O362" s="1">
        <f t="shared" si="42"/>
        <v>2.2000000000000002</v>
      </c>
      <c r="P362" s="1"/>
      <c r="Q362" s="3">
        <f t="shared" si="46"/>
        <v>4.3978723404255327</v>
      </c>
      <c r="R362" s="1" t="s">
        <v>572</v>
      </c>
      <c r="S362" s="1" t="str">
        <f>PROPER(Table3[[#This Row],[Cancer_Type]])</f>
        <v>Leukemia</v>
      </c>
      <c r="T362" s="1" t="s">
        <v>591</v>
      </c>
      <c r="U362" s="4">
        <v>83917.63</v>
      </c>
      <c r="V362" s="1">
        <v>5.3</v>
      </c>
      <c r="W362" s="1">
        <f t="shared" ca="1" si="43"/>
        <v>5</v>
      </c>
      <c r="X362" s="1">
        <v>4.71</v>
      </c>
      <c r="Y362" s="1" t="str">
        <f t="shared" si="44"/>
        <v>Stage II</v>
      </c>
      <c r="Z362" s="10">
        <f t="shared" si="45"/>
        <v>83917.63</v>
      </c>
    </row>
    <row r="363" spans="1:26">
      <c r="A363" s="1" t="s">
        <v>366</v>
      </c>
      <c r="B363" s="1">
        <v>80</v>
      </c>
      <c r="C363" s="1" t="s">
        <v>543</v>
      </c>
      <c r="D363" s="1" t="str">
        <f>PROPER(Table3[[#This Row],[Gender]])</f>
        <v>Female</v>
      </c>
      <c r="E363" s="1" t="s">
        <v>560</v>
      </c>
      <c r="F363" s="1" t="str">
        <f>PROPER(Table3[[#This Row],[Country_Region]])</f>
        <v>Usa</v>
      </c>
      <c r="G363" s="1">
        <v>2022</v>
      </c>
      <c r="H363" s="1">
        <v>6.7</v>
      </c>
      <c r="I363" s="1">
        <f>IF(H363="", AVERAGEIF('CLEANED DATASET'!$G$2:$G$532,G363,'CLEANED DATASET'!$H358),H363)</f>
        <v>6.7</v>
      </c>
      <c r="J363" s="1">
        <v>3.6</v>
      </c>
      <c r="K363" s="1">
        <f t="shared" si="40"/>
        <v>3.6</v>
      </c>
      <c r="L363" s="1"/>
      <c r="M363" s="3">
        <f t="shared" si="41"/>
        <v>5.28</v>
      </c>
      <c r="N363" s="1">
        <v>8.1999999999999993</v>
      </c>
      <c r="O363" s="1">
        <f t="shared" si="42"/>
        <v>8.1999999999999993</v>
      </c>
      <c r="P363" s="1">
        <v>2.2000000000000002</v>
      </c>
      <c r="Q363" s="1">
        <f t="shared" si="46"/>
        <v>2.2000000000000002</v>
      </c>
      <c r="R363" s="1" t="s">
        <v>572</v>
      </c>
      <c r="S363" s="1" t="str">
        <f>PROPER(Table3[[#This Row],[Cancer_Type]])</f>
        <v>Leukemia</v>
      </c>
      <c r="T363" s="1" t="s">
        <v>594</v>
      </c>
      <c r="U363" s="4">
        <v>67866.820000000007</v>
      </c>
      <c r="V363" s="1">
        <v>5.3</v>
      </c>
      <c r="W363" s="1">
        <f t="shared" ca="1" si="43"/>
        <v>5</v>
      </c>
      <c r="X363" s="1">
        <v>5.22</v>
      </c>
      <c r="Y363" s="1" t="str">
        <f t="shared" si="44"/>
        <v>Stage II</v>
      </c>
      <c r="Z363" s="10">
        <f t="shared" si="45"/>
        <v>67866.820000000007</v>
      </c>
    </row>
    <row r="364" spans="1:26">
      <c r="A364" s="1" t="s">
        <v>192</v>
      </c>
      <c r="B364" s="1">
        <v>79</v>
      </c>
      <c r="C364" s="1" t="s">
        <v>542</v>
      </c>
      <c r="D364" s="1" t="str">
        <f>PROPER(Table3[[#This Row],[Gender]])</f>
        <v>Male</v>
      </c>
      <c r="E364" s="1" t="s">
        <v>548</v>
      </c>
      <c r="F364" s="1" t="str">
        <f>PROPER(Table3[[#This Row],[Country_Region]])</f>
        <v>Uk</v>
      </c>
      <c r="G364" s="1">
        <v>2024</v>
      </c>
      <c r="H364" s="1">
        <v>0.7</v>
      </c>
      <c r="I364" s="1">
        <f>IF(H364="", AVERAGEIF('CLEANED DATASET'!$G$2:$G$532,G364,'CLEANED DATASET'!$H184),H364)</f>
        <v>0.7</v>
      </c>
      <c r="J364" s="1">
        <v>3.4</v>
      </c>
      <c r="K364" s="1">
        <f t="shared" si="40"/>
        <v>3.4</v>
      </c>
      <c r="L364" s="1">
        <v>5.5</v>
      </c>
      <c r="M364" s="1">
        <f t="shared" si="41"/>
        <v>5.5</v>
      </c>
      <c r="N364" s="1">
        <v>2.2999999999999998</v>
      </c>
      <c r="O364" s="1">
        <f t="shared" si="42"/>
        <v>2.2999999999999998</v>
      </c>
      <c r="P364" s="1">
        <v>0.6</v>
      </c>
      <c r="Q364" s="1">
        <f t="shared" si="46"/>
        <v>0.6</v>
      </c>
      <c r="R364" s="1" t="s">
        <v>598</v>
      </c>
      <c r="S364" s="1" t="str">
        <f>PROPER(Table3[[#This Row],[Cancer_Type]])</f>
        <v>Skin</v>
      </c>
      <c r="T364" s="1" t="s">
        <v>594</v>
      </c>
      <c r="U364" s="4">
        <v>44086.22</v>
      </c>
      <c r="V364" s="1">
        <v>0.7</v>
      </c>
      <c r="W364" s="1">
        <f t="shared" ca="1" si="43"/>
        <v>8</v>
      </c>
      <c r="X364" s="1">
        <v>3.11</v>
      </c>
      <c r="Y364" s="1" t="str">
        <f t="shared" si="44"/>
        <v>Stage I</v>
      </c>
      <c r="Z364" s="10">
        <f t="shared" si="45"/>
        <v>44086.22</v>
      </c>
    </row>
    <row r="365" spans="1:26">
      <c r="A365" s="1" t="s">
        <v>126</v>
      </c>
      <c r="B365" s="1">
        <v>79</v>
      </c>
      <c r="C365" s="1" t="s">
        <v>541</v>
      </c>
      <c r="D365" s="1" t="str">
        <f>PROPER(Table3[[#This Row],[Gender]])</f>
        <v>Other</v>
      </c>
      <c r="E365" s="1" t="s">
        <v>562</v>
      </c>
      <c r="F365" s="1" t="str">
        <f>PROPER(Table3[[#This Row],[Country_Region]])</f>
        <v>China</v>
      </c>
      <c r="G365" s="1">
        <v>2024</v>
      </c>
      <c r="H365" s="1">
        <v>9.6</v>
      </c>
      <c r="I365" s="1">
        <f>IF(H365="", AVERAGEIF('CLEANED DATASET'!$G$2:$G$532,G365,'CLEANED DATASET'!$H118),H365)</f>
        <v>9.6</v>
      </c>
      <c r="J365" s="1">
        <v>6.9</v>
      </c>
      <c r="K365" s="1">
        <f t="shared" si="40"/>
        <v>6.9</v>
      </c>
      <c r="L365" s="1">
        <v>9.8000000000000007</v>
      </c>
      <c r="M365" s="1">
        <f t="shared" si="41"/>
        <v>9.8000000000000007</v>
      </c>
      <c r="N365" s="1">
        <v>9.6999999999999993</v>
      </c>
      <c r="O365" s="1">
        <f t="shared" si="42"/>
        <v>9.6999999999999993</v>
      </c>
      <c r="P365" s="1"/>
      <c r="Q365" s="3">
        <f t="shared" si="46"/>
        <v>2.958333333333333</v>
      </c>
      <c r="R365" s="1" t="s">
        <v>572</v>
      </c>
      <c r="S365" s="1" t="str">
        <f>PROPER(Table3[[#This Row],[Cancer_Type]])</f>
        <v>Leukemia</v>
      </c>
      <c r="T365" s="1" t="s">
        <v>590</v>
      </c>
      <c r="U365" s="4">
        <v>88756.03</v>
      </c>
      <c r="V365" s="1">
        <v>9.9</v>
      </c>
      <c r="W365" s="1">
        <f t="shared" ca="1" si="43"/>
        <v>3</v>
      </c>
      <c r="X365" s="1">
        <v>7.33</v>
      </c>
      <c r="Y365" s="1" t="str">
        <f t="shared" si="44"/>
        <v>Stage III</v>
      </c>
      <c r="Z365" s="10">
        <f t="shared" si="45"/>
        <v>88756.03</v>
      </c>
    </row>
    <row r="366" spans="1:26">
      <c r="A366" s="1" t="s">
        <v>419</v>
      </c>
      <c r="B366" s="1">
        <v>76</v>
      </c>
      <c r="C366" s="1" t="s">
        <v>541</v>
      </c>
      <c r="D366" s="1" t="str">
        <f>PROPER(Table3[[#This Row],[Gender]])</f>
        <v>Other</v>
      </c>
      <c r="E366" s="1" t="s">
        <v>551</v>
      </c>
      <c r="F366" s="1" t="str">
        <f>PROPER(Table3[[#This Row],[Country_Region]])</f>
        <v>Germany</v>
      </c>
      <c r="G366" s="1">
        <v>2024</v>
      </c>
      <c r="H366" s="1">
        <v>7</v>
      </c>
      <c r="I366" s="1">
        <f>IF(H366="", AVERAGEIF('CLEANED DATASET'!$G$2:$G$532,G366,'CLEANED DATASET'!$H411),H366)</f>
        <v>7</v>
      </c>
      <c r="J366" s="1">
        <v>5.2</v>
      </c>
      <c r="K366" s="1">
        <f t="shared" si="40"/>
        <v>5.2</v>
      </c>
      <c r="L366" s="1">
        <v>6.7</v>
      </c>
      <c r="M366" s="1">
        <f t="shared" si="41"/>
        <v>6.7</v>
      </c>
      <c r="N366" s="1"/>
      <c r="O366" s="3">
        <f t="shared" si="42"/>
        <v>4.9864406779661037</v>
      </c>
      <c r="P366" s="1">
        <v>8</v>
      </c>
      <c r="Q366" s="1">
        <f t="shared" si="46"/>
        <v>8</v>
      </c>
      <c r="R366" s="1" t="s">
        <v>603</v>
      </c>
      <c r="S366" s="1" t="str">
        <f>PROPER(Table3[[#This Row],[Cancer_Type]])</f>
        <v>Unknown</v>
      </c>
      <c r="T366" s="1" t="s">
        <v>590</v>
      </c>
      <c r="U366" s="4">
        <v>9988.14</v>
      </c>
      <c r="V366" s="1">
        <v>2.2999999999999998</v>
      </c>
      <c r="W366" s="1">
        <f t="shared" ca="1" si="43"/>
        <v>3</v>
      </c>
      <c r="X366" s="1">
        <v>7.67</v>
      </c>
      <c r="Y366" s="1" t="str">
        <f t="shared" si="44"/>
        <v>Stage III</v>
      </c>
      <c r="Z366" s="10">
        <f t="shared" si="45"/>
        <v>9988.14</v>
      </c>
    </row>
    <row r="367" spans="1:26">
      <c r="A367" s="1" t="s">
        <v>499</v>
      </c>
      <c r="B367" s="1">
        <v>46</v>
      </c>
      <c r="C367" s="1" t="s">
        <v>543</v>
      </c>
      <c r="D367" s="1" t="str">
        <f>PROPER(Table3[[#This Row],[Gender]])</f>
        <v>Female</v>
      </c>
      <c r="E367" s="1" t="s">
        <v>550</v>
      </c>
      <c r="F367" s="1" t="str">
        <f>PROPER(Table3[[#This Row],[Country_Region]])</f>
        <v>Pakistan</v>
      </c>
      <c r="G367" s="1">
        <v>2024</v>
      </c>
      <c r="H367" s="1">
        <v>7.1</v>
      </c>
      <c r="I367" s="1">
        <f>IF(H367="", AVERAGEIF('CLEANED DATASET'!$G$2:$G$532,G367,'CLEANED DATASET'!$H491),H367)</f>
        <v>7.1</v>
      </c>
      <c r="J367" s="1">
        <v>9.5</v>
      </c>
      <c r="K367" s="1">
        <f t="shared" si="40"/>
        <v>9.5</v>
      </c>
      <c r="L367" s="1">
        <v>0.8</v>
      </c>
      <c r="M367" s="1">
        <f t="shared" si="41"/>
        <v>0.8</v>
      </c>
      <c r="N367" s="1">
        <v>5.6</v>
      </c>
      <c r="O367" s="1">
        <f t="shared" si="42"/>
        <v>5.6</v>
      </c>
      <c r="P367" s="1">
        <v>6.8</v>
      </c>
      <c r="Q367" s="1">
        <f t="shared" si="46"/>
        <v>6.8</v>
      </c>
      <c r="R367" s="1" t="s">
        <v>576</v>
      </c>
      <c r="S367" s="1" t="str">
        <f>PROPER(Table3[[#This Row],[Cancer_Type]])</f>
        <v>Cervical</v>
      </c>
      <c r="T367" s="1" t="s">
        <v>590</v>
      </c>
      <c r="U367" s="4">
        <v>18609.099999999999</v>
      </c>
      <c r="V367" s="1">
        <v>7.6</v>
      </c>
      <c r="W367" s="1">
        <f t="shared" ca="1" si="43"/>
        <v>4</v>
      </c>
      <c r="X367" s="1">
        <v>6.39</v>
      </c>
      <c r="Y367" s="1" t="str">
        <f t="shared" si="44"/>
        <v>Stage III</v>
      </c>
      <c r="Z367" s="10">
        <f t="shared" si="45"/>
        <v>18609.099999999999</v>
      </c>
    </row>
    <row r="368" spans="1:26">
      <c r="A368" s="1" t="s">
        <v>463</v>
      </c>
      <c r="B368" s="1">
        <v>37</v>
      </c>
      <c r="C368" s="1" t="s">
        <v>541</v>
      </c>
      <c r="D368" s="1" t="str">
        <f>PROPER(Table3[[#This Row],[Gender]])</f>
        <v>Other</v>
      </c>
      <c r="E368" s="1" t="s">
        <v>549</v>
      </c>
      <c r="F368" s="1" t="str">
        <f>PROPER(Table3[[#This Row],[Country_Region]])</f>
        <v>Australia</v>
      </c>
      <c r="G368" s="1">
        <v>2022</v>
      </c>
      <c r="H368" s="1">
        <v>2.2000000000000002</v>
      </c>
      <c r="I368" s="1">
        <f>IF(H368="", AVERAGEIF('CLEANED DATASET'!$G$2:$G$532,G368,'CLEANED DATASET'!$H455),H368)</f>
        <v>2.2000000000000002</v>
      </c>
      <c r="J368" s="1">
        <v>8.3000000000000007</v>
      </c>
      <c r="K368" s="1">
        <f t="shared" si="40"/>
        <v>8.3000000000000007</v>
      </c>
      <c r="L368" s="1">
        <v>1.3</v>
      </c>
      <c r="M368" s="1">
        <f t="shared" si="41"/>
        <v>1.3</v>
      </c>
      <c r="N368" s="1">
        <v>6.5</v>
      </c>
      <c r="O368" s="1">
        <f t="shared" si="42"/>
        <v>6.5</v>
      </c>
      <c r="P368" s="1"/>
      <c r="Q368" s="3">
        <f t="shared" si="46"/>
        <v>5.4647058823529386</v>
      </c>
      <c r="R368" s="1" t="s">
        <v>578</v>
      </c>
      <c r="S368" s="1" t="str">
        <f>PROPER(Table3[[#This Row],[Cancer_Type]])</f>
        <v>Liver</v>
      </c>
      <c r="T368" s="1" t="s">
        <v>593</v>
      </c>
      <c r="U368" s="8">
        <v>80760.990000000005</v>
      </c>
      <c r="V368" s="1">
        <v>9.3000000000000007</v>
      </c>
      <c r="W368" s="1">
        <f t="shared" ca="1" si="43"/>
        <v>5</v>
      </c>
      <c r="X368" s="1">
        <v>4.42</v>
      </c>
      <c r="Y368" s="1" t="str">
        <f t="shared" si="44"/>
        <v>Stage II</v>
      </c>
      <c r="Z368" s="10">
        <f t="shared" si="45"/>
        <v>80760.990000000005</v>
      </c>
    </row>
    <row r="369" spans="1:26">
      <c r="A369" s="1" t="s">
        <v>193</v>
      </c>
      <c r="B369" s="1">
        <v>72</v>
      </c>
      <c r="C369" s="1" t="s">
        <v>546</v>
      </c>
      <c r="D369" s="1" t="str">
        <f>PROPER(Table3[[#This Row],[Gender]])</f>
        <v>Unknown</v>
      </c>
      <c r="E369" s="1" t="s">
        <v>560</v>
      </c>
      <c r="F369" s="1" t="str">
        <f>PROPER(Table3[[#This Row],[Country_Region]])</f>
        <v>Usa</v>
      </c>
      <c r="G369" s="1">
        <v>2023</v>
      </c>
      <c r="H369" s="1">
        <v>4.4000000000000004</v>
      </c>
      <c r="I369" s="1">
        <f>IF(H369="", AVERAGEIF('CLEANED DATASET'!$G$2:$G$532,G369,'CLEANED DATASET'!$H185),H369)</f>
        <v>4.4000000000000004</v>
      </c>
      <c r="J369" s="1">
        <v>0.2</v>
      </c>
      <c r="K369" s="1">
        <f t="shared" si="40"/>
        <v>0.2</v>
      </c>
      <c r="L369" s="1">
        <v>3.1</v>
      </c>
      <c r="M369" s="1">
        <f t="shared" si="41"/>
        <v>3.1</v>
      </c>
      <c r="N369" s="1">
        <v>0.9</v>
      </c>
      <c r="O369" s="1">
        <f t="shared" si="42"/>
        <v>0.9</v>
      </c>
      <c r="P369" s="1">
        <v>2.2000000000000002</v>
      </c>
      <c r="Q369" s="1">
        <f t="shared" si="46"/>
        <v>2.2000000000000002</v>
      </c>
      <c r="R369" s="1" t="s">
        <v>573</v>
      </c>
      <c r="S369" s="1" t="str">
        <f>PROPER(Table3[[#This Row],[Cancer_Type]])</f>
        <v>Breast</v>
      </c>
      <c r="T369" s="1" t="s">
        <v>590</v>
      </c>
      <c r="U369" s="4">
        <v>27476.85</v>
      </c>
      <c r="V369" s="1">
        <v>0.7</v>
      </c>
      <c r="W369" s="1">
        <f t="shared" ca="1" si="43"/>
        <v>7</v>
      </c>
      <c r="X369" s="1">
        <v>3.23</v>
      </c>
      <c r="Y369" s="1" t="str">
        <f t="shared" si="44"/>
        <v>Stage I</v>
      </c>
      <c r="Z369" s="10">
        <f t="shared" si="45"/>
        <v>27476.85</v>
      </c>
    </row>
    <row r="370" spans="1:26">
      <c r="A370" s="1" t="s">
        <v>21</v>
      </c>
      <c r="B370" s="1">
        <v>32</v>
      </c>
      <c r="C370" s="1" t="s">
        <v>541</v>
      </c>
      <c r="D370" s="1" t="str">
        <f>PROPER(Table3[[#This Row],[Gender]])</f>
        <v>Other</v>
      </c>
      <c r="E370" s="1" t="s">
        <v>554</v>
      </c>
      <c r="F370" s="1" t="str">
        <f>PROPER(Table3[[#This Row],[Country_Region]])</f>
        <v>Brazil</v>
      </c>
      <c r="G370" s="1">
        <v>2023</v>
      </c>
      <c r="H370" s="1">
        <v>1.8</v>
      </c>
      <c r="I370" s="1">
        <f>IF(H370="", AVERAGEIF('CLEANED DATASET'!$G$2:$G$532,G370,'CLEANED DATASET'!$H13),H370)</f>
        <v>1.8</v>
      </c>
      <c r="J370" s="1">
        <v>5.9</v>
      </c>
      <c r="K370" s="1">
        <f t="shared" si="40"/>
        <v>5.9</v>
      </c>
      <c r="L370" s="1">
        <v>0.7</v>
      </c>
      <c r="M370" s="1">
        <f t="shared" si="41"/>
        <v>0.7</v>
      </c>
      <c r="N370" s="1">
        <v>9.9</v>
      </c>
      <c r="O370" s="1">
        <f t="shared" si="42"/>
        <v>9.9</v>
      </c>
      <c r="P370" s="1">
        <v>4.2</v>
      </c>
      <c r="Q370" s="1">
        <f t="shared" si="46"/>
        <v>4.2</v>
      </c>
      <c r="R370" s="1" t="s">
        <v>572</v>
      </c>
      <c r="S370" s="1" t="str">
        <f>PROPER(Table3[[#This Row],[Cancer_Type]])</f>
        <v>Leukemia</v>
      </c>
      <c r="T370" s="1"/>
      <c r="U370" s="4"/>
      <c r="V370" s="1">
        <v>4.5999999999999996</v>
      </c>
      <c r="W370" s="1">
        <f t="shared" ca="1" si="43"/>
        <v>5</v>
      </c>
      <c r="X370" s="1">
        <v>5.37</v>
      </c>
      <c r="Y370" s="1" t="str">
        <f t="shared" si="44"/>
        <v>Stage II</v>
      </c>
      <c r="Z370" s="10">
        <f t="shared" si="45"/>
        <v>50390.07</v>
      </c>
    </row>
    <row r="371" spans="1:26">
      <c r="A371" s="1" t="s">
        <v>315</v>
      </c>
      <c r="B371" s="1">
        <v>24</v>
      </c>
      <c r="C371" s="1" t="s">
        <v>543</v>
      </c>
      <c r="D371" s="1" t="str">
        <f>PROPER(Table3[[#This Row],[Gender]])</f>
        <v>Female</v>
      </c>
      <c r="E371" s="1" t="s">
        <v>556</v>
      </c>
      <c r="F371" s="1" t="str">
        <f>PROPER(Table3[[#This Row],[Country_Region]])</f>
        <v>India</v>
      </c>
      <c r="G371" s="1">
        <v>2024</v>
      </c>
      <c r="H371" s="1">
        <v>7</v>
      </c>
      <c r="I371" s="1">
        <f>IF(H371="", AVERAGEIF('CLEANED DATASET'!$G$2:$G$532,G371,'CLEANED DATASET'!$H307),H371)</f>
        <v>7</v>
      </c>
      <c r="J371" s="1">
        <v>7.6</v>
      </c>
      <c r="K371" s="1">
        <f t="shared" si="40"/>
        <v>7.6</v>
      </c>
      <c r="L371" s="1">
        <v>5.3</v>
      </c>
      <c r="M371" s="1">
        <f t="shared" si="41"/>
        <v>5.3</v>
      </c>
      <c r="N371" s="1">
        <v>7.6</v>
      </c>
      <c r="O371" s="1">
        <f t="shared" si="42"/>
        <v>7.6</v>
      </c>
      <c r="P371" s="1">
        <v>0.2</v>
      </c>
      <c r="Q371" s="1">
        <f t="shared" si="46"/>
        <v>0.2</v>
      </c>
      <c r="R371" s="1" t="s">
        <v>578</v>
      </c>
      <c r="S371" s="1" t="str">
        <f>PROPER(Table3[[#This Row],[Cancer_Type]])</f>
        <v>Liver</v>
      </c>
      <c r="T371" s="1" t="s">
        <v>591</v>
      </c>
      <c r="U371" s="4">
        <v>45778.04</v>
      </c>
      <c r="V371" s="1">
        <v>1.1000000000000001</v>
      </c>
      <c r="W371" s="1">
        <f t="shared" ca="1" si="43"/>
        <v>6</v>
      </c>
      <c r="X371" s="1">
        <v>5.96</v>
      </c>
      <c r="Y371" s="1" t="str">
        <f t="shared" si="44"/>
        <v>Stage II</v>
      </c>
      <c r="Z371" s="10">
        <f t="shared" si="45"/>
        <v>45778.04</v>
      </c>
    </row>
    <row r="372" spans="1:26">
      <c r="A372" s="1" t="s">
        <v>201</v>
      </c>
      <c r="B372" s="1">
        <v>77</v>
      </c>
      <c r="C372" s="1" t="s">
        <v>543</v>
      </c>
      <c r="D372" s="1" t="str">
        <f>PROPER(Table3[[#This Row],[Gender]])</f>
        <v>Female</v>
      </c>
      <c r="E372" s="1" t="s">
        <v>549</v>
      </c>
      <c r="F372" s="1" t="str">
        <f>PROPER(Table3[[#This Row],[Country_Region]])</f>
        <v>Australia</v>
      </c>
      <c r="G372" s="1">
        <v>2022</v>
      </c>
      <c r="H372" s="1">
        <v>5.5</v>
      </c>
      <c r="I372" s="1">
        <f>IF(H372="", AVERAGEIF('CLEANED DATASET'!$G$2:$G$532,G372,'CLEANED DATASET'!$H193),H372)</f>
        <v>5.5</v>
      </c>
      <c r="J372" s="1">
        <v>1</v>
      </c>
      <c r="K372" s="1">
        <f t="shared" si="40"/>
        <v>1</v>
      </c>
      <c r="L372" s="1">
        <v>1.9</v>
      </c>
      <c r="M372" s="1">
        <f t="shared" si="41"/>
        <v>1.9</v>
      </c>
      <c r="N372" s="1">
        <v>9.1</v>
      </c>
      <c r="O372" s="1">
        <f t="shared" si="42"/>
        <v>9.1</v>
      </c>
      <c r="P372" s="1">
        <v>6.9</v>
      </c>
      <c r="Q372" s="1">
        <f t="shared" si="46"/>
        <v>6.9</v>
      </c>
      <c r="R372" s="1" t="s">
        <v>579</v>
      </c>
      <c r="S372" s="1" t="str">
        <f>PROPER(Table3[[#This Row],[Cancer_Type]])</f>
        <v>Prostate</v>
      </c>
      <c r="T372" s="1" t="s">
        <v>593</v>
      </c>
      <c r="U372" s="4"/>
      <c r="V372" s="1">
        <v>2.4</v>
      </c>
      <c r="W372" s="1">
        <f t="shared" ca="1" si="43"/>
        <v>5</v>
      </c>
      <c r="X372" s="1">
        <v>5.0599999999999996</v>
      </c>
      <c r="Y372" s="1" t="str">
        <f t="shared" si="44"/>
        <v>Stage II</v>
      </c>
      <c r="Z372" s="10">
        <f t="shared" si="45"/>
        <v>52844.4</v>
      </c>
    </row>
    <row r="373" spans="1:26">
      <c r="A373" s="1" t="s">
        <v>59</v>
      </c>
      <c r="B373" s="1">
        <v>69</v>
      </c>
      <c r="C373" s="1" t="s">
        <v>542</v>
      </c>
      <c r="D373" s="1" t="str">
        <f>PROPER(Table3[[#This Row],[Gender]])</f>
        <v>Male</v>
      </c>
      <c r="E373" s="1" t="s">
        <v>554</v>
      </c>
      <c r="F373" s="1" t="str">
        <f>PROPER(Table3[[#This Row],[Country_Region]])</f>
        <v>Brazil</v>
      </c>
      <c r="G373" s="1">
        <v>2024</v>
      </c>
      <c r="H373" s="1">
        <v>9.8000000000000007</v>
      </c>
      <c r="I373" s="1">
        <f>IF(H373="", AVERAGEIF('CLEANED DATASET'!$G$2:$G$532,G373,'CLEANED DATASET'!$H51),H373)</f>
        <v>9.8000000000000007</v>
      </c>
      <c r="J373" s="1">
        <v>2.8</v>
      </c>
      <c r="K373" s="1">
        <f t="shared" si="40"/>
        <v>2.8</v>
      </c>
      <c r="L373" s="1">
        <v>7.1</v>
      </c>
      <c r="M373" s="1">
        <f t="shared" si="41"/>
        <v>7.1</v>
      </c>
      <c r="N373" s="1">
        <v>8.4</v>
      </c>
      <c r="O373" s="1">
        <f t="shared" si="42"/>
        <v>8.4</v>
      </c>
      <c r="P373" s="1">
        <v>8.5</v>
      </c>
      <c r="Q373" s="1">
        <f t="shared" si="46"/>
        <v>8.5</v>
      </c>
      <c r="R373" s="1" t="s">
        <v>573</v>
      </c>
      <c r="S373" s="1" t="str">
        <f>PROPER(Table3[[#This Row],[Cancer_Type]])</f>
        <v>Breast</v>
      </c>
      <c r="T373" s="1" t="s">
        <v>591</v>
      </c>
      <c r="U373" s="4">
        <v>96208.01</v>
      </c>
      <c r="V373" s="1">
        <v>9.6999999999999993</v>
      </c>
      <c r="W373" s="1">
        <f t="shared" ca="1" si="43"/>
        <v>3</v>
      </c>
      <c r="X373" s="1">
        <v>6.05</v>
      </c>
      <c r="Y373" s="1" t="str">
        <f t="shared" si="44"/>
        <v>Stage III</v>
      </c>
      <c r="Z373" s="10">
        <f t="shared" si="45"/>
        <v>96208.01</v>
      </c>
    </row>
    <row r="374" spans="1:26">
      <c r="A374" s="1" t="s">
        <v>454</v>
      </c>
      <c r="B374" s="1">
        <v>26</v>
      </c>
      <c r="C374" s="1" t="s">
        <v>542</v>
      </c>
      <c r="D374" s="1" t="str">
        <f>PROPER(Table3[[#This Row],[Gender]])</f>
        <v>Male</v>
      </c>
      <c r="E374" s="1" t="s">
        <v>550</v>
      </c>
      <c r="F374" s="1" t="str">
        <f>PROPER(Table3[[#This Row],[Country_Region]])</f>
        <v>Pakistan</v>
      </c>
      <c r="G374" s="1">
        <v>2023</v>
      </c>
      <c r="H374" s="1">
        <v>0.9</v>
      </c>
      <c r="I374" s="1">
        <f>IF(H374="", AVERAGEIF('CLEANED DATASET'!$G$2:$G$532,G374,'CLEANED DATASET'!$H446),H374)</f>
        <v>0.9</v>
      </c>
      <c r="J374" s="1">
        <v>0.8</v>
      </c>
      <c r="K374" s="1">
        <f t="shared" si="40"/>
        <v>0.8</v>
      </c>
      <c r="L374" s="1">
        <v>10</v>
      </c>
      <c r="M374" s="1">
        <f t="shared" si="41"/>
        <v>10</v>
      </c>
      <c r="N374" s="1">
        <v>6.4</v>
      </c>
      <c r="O374" s="1">
        <f t="shared" si="42"/>
        <v>6.4</v>
      </c>
      <c r="P374" s="1">
        <v>4.5999999999999996</v>
      </c>
      <c r="Q374" s="1">
        <f t="shared" si="46"/>
        <v>4.5999999999999996</v>
      </c>
      <c r="R374" s="1" t="s">
        <v>603</v>
      </c>
      <c r="S374" s="1" t="str">
        <f>PROPER(Table3[[#This Row],[Cancer_Type]])</f>
        <v>Unknown</v>
      </c>
      <c r="T374" s="1" t="s">
        <v>593</v>
      </c>
      <c r="U374" s="4">
        <v>59805</v>
      </c>
      <c r="V374" s="1">
        <v>3</v>
      </c>
      <c r="W374" s="1">
        <f t="shared" ca="1" si="43"/>
        <v>6</v>
      </c>
      <c r="X374" s="1">
        <v>4.34</v>
      </c>
      <c r="Y374" s="1" t="str">
        <f t="shared" si="44"/>
        <v>Stage II</v>
      </c>
      <c r="Z374" s="10">
        <f t="shared" si="45"/>
        <v>59805</v>
      </c>
    </row>
    <row r="375" spans="1:26">
      <c r="A375" s="1" t="s">
        <v>247</v>
      </c>
      <c r="B375" s="1">
        <v>67</v>
      </c>
      <c r="C375" s="1" t="s">
        <v>542</v>
      </c>
      <c r="D375" s="1" t="str">
        <f>PROPER(Table3[[#This Row],[Gender]])</f>
        <v>Male</v>
      </c>
      <c r="E375" s="1" t="s">
        <v>560</v>
      </c>
      <c r="F375" s="1" t="str">
        <f>PROPER(Table3[[#This Row],[Country_Region]])</f>
        <v>Usa</v>
      </c>
      <c r="G375" s="1">
        <v>2023</v>
      </c>
      <c r="H375" s="1">
        <v>3.7</v>
      </c>
      <c r="I375" s="1">
        <f>IF(H375="", AVERAGEIF('CLEANED DATASET'!$G$2:$G$532,G375,'CLEANED DATASET'!$H239),H375)</f>
        <v>3.7</v>
      </c>
      <c r="J375" s="1">
        <v>0.3</v>
      </c>
      <c r="K375" s="1">
        <f t="shared" si="40"/>
        <v>0.3</v>
      </c>
      <c r="L375" s="1">
        <v>3.6</v>
      </c>
      <c r="M375" s="1">
        <f t="shared" si="41"/>
        <v>3.6</v>
      </c>
      <c r="N375" s="1">
        <v>3.3</v>
      </c>
      <c r="O375" s="1">
        <f t="shared" si="42"/>
        <v>3.3</v>
      </c>
      <c r="P375" s="1">
        <v>1.3</v>
      </c>
      <c r="Q375" s="1">
        <f t="shared" si="46"/>
        <v>1.3</v>
      </c>
      <c r="R375" s="1" t="s">
        <v>573</v>
      </c>
      <c r="S375" s="1" t="str">
        <f>PROPER(Table3[[#This Row],[Cancer_Type]])</f>
        <v>Breast</v>
      </c>
      <c r="T375" s="1" t="s">
        <v>594</v>
      </c>
      <c r="U375" s="4">
        <v>71084.27</v>
      </c>
      <c r="V375" s="1">
        <v>2.5</v>
      </c>
      <c r="W375" s="1">
        <f t="shared" ca="1" si="43"/>
        <v>8</v>
      </c>
      <c r="X375" s="1">
        <v>2.69</v>
      </c>
      <c r="Y375" s="1" t="str">
        <f t="shared" si="44"/>
        <v>Stage I</v>
      </c>
      <c r="Z375" s="10">
        <f t="shared" si="45"/>
        <v>71084.27</v>
      </c>
    </row>
    <row r="376" spans="1:26">
      <c r="A376" s="1" t="s">
        <v>370</v>
      </c>
      <c r="B376" s="1">
        <v>67</v>
      </c>
      <c r="C376" s="1" t="s">
        <v>542</v>
      </c>
      <c r="D376" s="1" t="str">
        <f>PROPER(Table3[[#This Row],[Gender]])</f>
        <v>Male</v>
      </c>
      <c r="E376" s="1" t="s">
        <v>554</v>
      </c>
      <c r="F376" s="1" t="str">
        <f>PROPER(Table3[[#This Row],[Country_Region]])</f>
        <v>Brazil</v>
      </c>
      <c r="G376" s="1">
        <v>2024</v>
      </c>
      <c r="H376" s="1">
        <v>6.4</v>
      </c>
      <c r="I376" s="1">
        <f>IF(H376="", AVERAGEIF('CLEANED DATASET'!$G$2:$G$532,G376,'CLEANED DATASET'!$H362),H376)</f>
        <v>6.4</v>
      </c>
      <c r="J376" s="1">
        <v>6.1</v>
      </c>
      <c r="K376" s="1">
        <f t="shared" si="40"/>
        <v>6.1</v>
      </c>
      <c r="L376" s="1">
        <v>2.9</v>
      </c>
      <c r="M376" s="1">
        <f t="shared" si="41"/>
        <v>2.9</v>
      </c>
      <c r="N376" s="1">
        <v>6.3</v>
      </c>
      <c r="O376" s="1">
        <f t="shared" si="42"/>
        <v>6.3</v>
      </c>
      <c r="P376" s="1">
        <v>0.7</v>
      </c>
      <c r="Q376" s="1">
        <f t="shared" si="46"/>
        <v>0.7</v>
      </c>
      <c r="R376" s="1" t="s">
        <v>572</v>
      </c>
      <c r="S376" s="1" t="str">
        <f>PROPER(Table3[[#This Row],[Cancer_Type]])</f>
        <v>Leukemia</v>
      </c>
      <c r="T376" s="1" t="s">
        <v>594</v>
      </c>
      <c r="U376" s="4">
        <v>83652.789999999994</v>
      </c>
      <c r="V376" s="1">
        <v>3.3</v>
      </c>
      <c r="W376" s="1">
        <f t="shared" ca="1" si="43"/>
        <v>5</v>
      </c>
      <c r="X376" s="1">
        <v>4.29</v>
      </c>
      <c r="Y376" s="1" t="str">
        <f t="shared" si="44"/>
        <v>Stage II</v>
      </c>
      <c r="Z376" s="10">
        <f t="shared" si="45"/>
        <v>83652.789999999994</v>
      </c>
    </row>
    <row r="377" spans="1:26">
      <c r="A377" s="1" t="s">
        <v>373</v>
      </c>
      <c r="B377" s="1">
        <v>57</v>
      </c>
      <c r="C377" s="1" t="s">
        <v>542</v>
      </c>
      <c r="D377" s="1" t="str">
        <f>PROPER(Table3[[#This Row],[Gender]])</f>
        <v>Male</v>
      </c>
      <c r="E377" s="1" t="s">
        <v>567</v>
      </c>
      <c r="F377" s="1" t="str">
        <f>PROPER(Table3[[#This Row],[Country_Region]])</f>
        <v>Canada</v>
      </c>
      <c r="G377" s="1">
        <v>2022</v>
      </c>
      <c r="H377" s="1">
        <v>5.8</v>
      </c>
      <c r="I377" s="1">
        <f>IF(H377="", AVERAGEIF('CLEANED DATASET'!$G$2:$G$532,G377,'CLEANED DATASET'!$H365),H377)</f>
        <v>5.8</v>
      </c>
      <c r="J377" s="1">
        <v>9.5</v>
      </c>
      <c r="K377" s="1">
        <f t="shared" si="40"/>
        <v>9.5</v>
      </c>
      <c r="L377" s="1">
        <v>5.4</v>
      </c>
      <c r="M377" s="1">
        <f t="shared" si="41"/>
        <v>5.4</v>
      </c>
      <c r="N377" s="1">
        <v>1.3</v>
      </c>
      <c r="O377" s="1">
        <f t="shared" si="42"/>
        <v>1.3</v>
      </c>
      <c r="P377" s="1">
        <v>7</v>
      </c>
      <c r="Q377" s="1">
        <f t="shared" si="46"/>
        <v>7</v>
      </c>
      <c r="R377" s="1" t="s">
        <v>573</v>
      </c>
      <c r="S377" s="1" t="str">
        <f>PROPER(Table3[[#This Row],[Cancer_Type]])</f>
        <v>Breast</v>
      </c>
      <c r="T377" s="1"/>
      <c r="U377" s="4">
        <v>63220.61</v>
      </c>
      <c r="V377" s="1">
        <v>9.1999999999999993</v>
      </c>
      <c r="W377" s="1">
        <f t="shared" ca="1" si="43"/>
        <v>5</v>
      </c>
      <c r="X377" s="1">
        <v>5.09</v>
      </c>
      <c r="Y377" s="1" t="str">
        <f t="shared" si="44"/>
        <v>Stage II</v>
      </c>
      <c r="Z377" s="10">
        <f t="shared" si="45"/>
        <v>63220.61</v>
      </c>
    </row>
    <row r="378" spans="1:26">
      <c r="A378" s="1" t="s">
        <v>351</v>
      </c>
      <c r="B378" s="1">
        <v>65</v>
      </c>
      <c r="C378" s="1" t="s">
        <v>543</v>
      </c>
      <c r="D378" s="1" t="str">
        <f>PROPER(Table3[[#This Row],[Gender]])</f>
        <v>Female</v>
      </c>
      <c r="E378" s="1" t="s">
        <v>558</v>
      </c>
      <c r="F378" s="1" t="str">
        <f>PROPER(Table3[[#This Row],[Country_Region]])</f>
        <v>Brazil</v>
      </c>
      <c r="G378" s="1">
        <v>2024</v>
      </c>
      <c r="H378" s="1">
        <v>4.7</v>
      </c>
      <c r="I378" s="1">
        <f>IF(H378="", AVERAGEIF('CLEANED DATASET'!$G$2:$G$532,G378,'CLEANED DATASET'!$H343),H378)</f>
        <v>4.7</v>
      </c>
      <c r="J378" s="1"/>
      <c r="K378" s="1">
        <f t="shared" si="40"/>
        <v>5.4</v>
      </c>
      <c r="L378" s="1">
        <v>8.6999999999999993</v>
      </c>
      <c r="M378" s="1">
        <f t="shared" si="41"/>
        <v>8.6999999999999993</v>
      </c>
      <c r="N378" s="1">
        <v>8.6</v>
      </c>
      <c r="O378" s="1">
        <f t="shared" si="42"/>
        <v>8.6</v>
      </c>
      <c r="P378" s="1">
        <v>6</v>
      </c>
      <c r="Q378" s="1">
        <f t="shared" si="46"/>
        <v>6</v>
      </c>
      <c r="R378" s="1" t="s">
        <v>581</v>
      </c>
      <c r="S378" s="1" t="str">
        <f>PROPER(Table3[[#This Row],[Cancer_Type]])</f>
        <v>Breast</v>
      </c>
      <c r="T378" s="1" t="s">
        <v>593</v>
      </c>
      <c r="U378" s="4">
        <v>43739.9</v>
      </c>
      <c r="V378" s="1">
        <v>9</v>
      </c>
      <c r="W378" s="1">
        <f t="shared" ca="1" si="43"/>
        <v>1</v>
      </c>
      <c r="X378" s="3">
        <f>ROUND(I378+K378+M378+O378+Q378+(10-V378)/6, 2)</f>
        <v>33.57</v>
      </c>
      <c r="Y378" s="1" t="str">
        <f t="shared" si="44"/>
        <v>Stage IV</v>
      </c>
      <c r="Z378" s="10">
        <f t="shared" si="45"/>
        <v>43739.9</v>
      </c>
    </row>
    <row r="379" spans="1:26">
      <c r="A379" s="1" t="s">
        <v>488</v>
      </c>
      <c r="B379" s="1">
        <v>26</v>
      </c>
      <c r="C379" s="1" t="s">
        <v>543</v>
      </c>
      <c r="D379" s="1" t="str">
        <f>PROPER(Table3[[#This Row],[Gender]])</f>
        <v>Female</v>
      </c>
      <c r="E379" s="1" t="s">
        <v>552</v>
      </c>
      <c r="F379" s="1" t="str">
        <f>PROPER(Table3[[#This Row],[Country_Region]])</f>
        <v>China</v>
      </c>
      <c r="G379" s="1">
        <v>2024</v>
      </c>
      <c r="H379" s="1">
        <v>1.9</v>
      </c>
      <c r="I379" s="1">
        <f>IF(H379="", AVERAGEIF('CLEANED DATASET'!$G$2:$G$532,G379,'CLEANED DATASET'!$H480),H379)</f>
        <v>1.9</v>
      </c>
      <c r="J379" s="1">
        <v>0.1</v>
      </c>
      <c r="K379" s="1">
        <f t="shared" si="40"/>
        <v>0.1</v>
      </c>
      <c r="L379" s="1">
        <v>4.5</v>
      </c>
      <c r="M379" s="1">
        <f t="shared" si="41"/>
        <v>4.5</v>
      </c>
      <c r="N379" s="1">
        <v>3.7</v>
      </c>
      <c r="O379" s="1">
        <f t="shared" si="42"/>
        <v>3.7</v>
      </c>
      <c r="P379" s="1">
        <v>0.7</v>
      </c>
      <c r="Q379" s="1">
        <f t="shared" si="46"/>
        <v>0.7</v>
      </c>
      <c r="R379" s="1" t="s">
        <v>578</v>
      </c>
      <c r="S379" s="1" t="str">
        <f>PROPER(Table3[[#This Row],[Cancer_Type]])</f>
        <v>Liver</v>
      </c>
      <c r="T379" s="1" t="s">
        <v>592</v>
      </c>
      <c r="U379" s="4"/>
      <c r="V379" s="1">
        <v>9.5</v>
      </c>
      <c r="W379" s="1">
        <f t="shared" ca="1" si="43"/>
        <v>8</v>
      </c>
      <c r="X379" s="1">
        <v>3.36</v>
      </c>
      <c r="Y379" s="1" t="str">
        <f t="shared" si="44"/>
        <v>Stage I</v>
      </c>
      <c r="Z379" s="10">
        <f t="shared" si="45"/>
        <v>41773.03</v>
      </c>
    </row>
    <row r="380" spans="1:26">
      <c r="A380" s="1" t="s">
        <v>77</v>
      </c>
      <c r="B380" s="1">
        <v>37</v>
      </c>
      <c r="C380" s="1" t="s">
        <v>543</v>
      </c>
      <c r="D380" s="1" t="str">
        <f>PROPER(Table3[[#This Row],[Gender]])</f>
        <v>Female</v>
      </c>
      <c r="E380" s="1" t="s">
        <v>555</v>
      </c>
      <c r="F380" s="1" t="str">
        <f>PROPER(Table3[[#This Row],[Country_Region]])</f>
        <v>Russia</v>
      </c>
      <c r="G380" s="1">
        <v>2024</v>
      </c>
      <c r="H380" s="1">
        <v>4.0999999999999996</v>
      </c>
      <c r="I380" s="1">
        <f>IF(H380="", AVERAGEIF('CLEANED DATASET'!$G$2:$G$532,G380,'CLEANED DATASET'!$H69),H380)</f>
        <v>4.0999999999999996</v>
      </c>
      <c r="J380" s="1">
        <v>1</v>
      </c>
      <c r="K380" s="1">
        <f t="shared" si="40"/>
        <v>1</v>
      </c>
      <c r="L380" s="1">
        <v>5.3</v>
      </c>
      <c r="M380" s="1">
        <f t="shared" si="41"/>
        <v>5.3</v>
      </c>
      <c r="N380" s="1">
        <v>3.5</v>
      </c>
      <c r="O380" s="1">
        <f t="shared" si="42"/>
        <v>3.5</v>
      </c>
      <c r="P380" s="1">
        <v>0.7</v>
      </c>
      <c r="Q380" s="1">
        <f t="shared" si="46"/>
        <v>0.7</v>
      </c>
      <c r="R380" s="1" t="s">
        <v>572</v>
      </c>
      <c r="S380" s="1" t="str">
        <f>PROPER(Table3[[#This Row],[Cancer_Type]])</f>
        <v>Leukemia</v>
      </c>
      <c r="T380" s="1" t="s">
        <v>590</v>
      </c>
      <c r="U380" s="4">
        <v>10333.459999999999</v>
      </c>
      <c r="V380" s="1">
        <v>3.2</v>
      </c>
      <c r="W380" s="1">
        <f t="shared" ca="1" si="43"/>
        <v>6</v>
      </c>
      <c r="X380" s="1">
        <v>4.33</v>
      </c>
      <c r="Y380" s="1" t="str">
        <f t="shared" si="44"/>
        <v>Stage II</v>
      </c>
      <c r="Z380" s="10">
        <f t="shared" si="45"/>
        <v>10333.459999999999</v>
      </c>
    </row>
    <row r="381" spans="1:26">
      <c r="A381" s="1" t="s">
        <v>409</v>
      </c>
      <c r="B381" s="1">
        <v>61</v>
      </c>
      <c r="C381" s="1" t="s">
        <v>543</v>
      </c>
      <c r="D381" s="1" t="str">
        <f>PROPER(Table3[[#This Row],[Gender]])</f>
        <v>Female</v>
      </c>
      <c r="E381" s="1" t="s">
        <v>551</v>
      </c>
      <c r="F381" s="1" t="str">
        <f>PROPER(Table3[[#This Row],[Country_Region]])</f>
        <v>Germany</v>
      </c>
      <c r="G381" s="1">
        <v>2024</v>
      </c>
      <c r="H381" s="1">
        <v>1.5</v>
      </c>
      <c r="I381" s="1">
        <f>IF(H381="", AVERAGEIF('CLEANED DATASET'!$G$2:$G$532,G381,'CLEANED DATASET'!$H401),H381)</f>
        <v>1.5</v>
      </c>
      <c r="J381" s="1">
        <v>8.9</v>
      </c>
      <c r="K381" s="1">
        <f t="shared" si="40"/>
        <v>8.9</v>
      </c>
      <c r="L381" s="1">
        <v>9.9</v>
      </c>
      <c r="M381" s="1">
        <f t="shared" si="41"/>
        <v>9.9</v>
      </c>
      <c r="N381" s="1">
        <v>7.5</v>
      </c>
      <c r="O381" s="1">
        <f t="shared" si="42"/>
        <v>7.5</v>
      </c>
      <c r="P381" s="1">
        <v>0.5</v>
      </c>
      <c r="Q381" s="1">
        <f t="shared" si="46"/>
        <v>0.5</v>
      </c>
      <c r="R381" s="1" t="s">
        <v>575</v>
      </c>
      <c r="S381" s="1" t="str">
        <f>PROPER(Table3[[#This Row],[Cancer_Type]])</f>
        <v>Breast</v>
      </c>
      <c r="T381" s="1" t="s">
        <v>590</v>
      </c>
      <c r="U381" s="4">
        <v>74407.41</v>
      </c>
      <c r="V381" s="1">
        <v>8.6999999999999993</v>
      </c>
      <c r="W381" s="1">
        <f t="shared" ca="1" si="43"/>
        <v>6</v>
      </c>
      <c r="X381" s="1">
        <v>5.18</v>
      </c>
      <c r="Y381" s="1" t="str">
        <f t="shared" si="44"/>
        <v>Stage II</v>
      </c>
      <c r="Z381" s="10">
        <f t="shared" si="45"/>
        <v>74407.41</v>
      </c>
    </row>
    <row r="382" spans="1:26">
      <c r="A382" s="1" t="s">
        <v>517</v>
      </c>
      <c r="B382" s="1">
        <v>5</v>
      </c>
      <c r="C382" s="1" t="s">
        <v>543</v>
      </c>
      <c r="D382" s="1" t="str">
        <f>PROPER(Table3[[#This Row],[Gender]])</f>
        <v>Female</v>
      </c>
      <c r="E382" s="1" t="s">
        <v>555</v>
      </c>
      <c r="F382" s="1" t="str">
        <f>PROPER(Table3[[#This Row],[Country_Region]])</f>
        <v>Russia</v>
      </c>
      <c r="G382" s="1">
        <v>2024</v>
      </c>
      <c r="H382" s="1">
        <v>4.5999999999999996</v>
      </c>
      <c r="I382" s="1">
        <f>IF(H382="", AVERAGEIF('CLEANED DATASET'!$G$2:$G$532,G382,'CLEANED DATASET'!$H509),H382)</f>
        <v>4.5999999999999996</v>
      </c>
      <c r="J382" s="1">
        <v>8.4</v>
      </c>
      <c r="K382" s="1">
        <f t="shared" si="40"/>
        <v>8.4</v>
      </c>
      <c r="L382" s="1">
        <v>7.3</v>
      </c>
      <c r="M382" s="1">
        <f t="shared" si="41"/>
        <v>7.3</v>
      </c>
      <c r="N382" s="1">
        <v>7.4</v>
      </c>
      <c r="O382" s="1">
        <f t="shared" si="42"/>
        <v>7.4</v>
      </c>
      <c r="P382" s="1">
        <v>4.8</v>
      </c>
      <c r="Q382" s="1">
        <f t="shared" si="46"/>
        <v>4.8</v>
      </c>
      <c r="R382" s="1" t="s">
        <v>588</v>
      </c>
      <c r="S382" s="1" t="str">
        <f>PROPER(Table3[[#This Row],[Cancer_Type]])</f>
        <v>Cervical</v>
      </c>
      <c r="T382" s="1" t="s">
        <v>591</v>
      </c>
      <c r="U382" s="4">
        <v>74233.95</v>
      </c>
      <c r="V382" s="1">
        <v>5.3</v>
      </c>
      <c r="W382" s="1">
        <f t="shared" ca="1" si="43"/>
        <v>6</v>
      </c>
      <c r="X382" s="1">
        <v>5.75</v>
      </c>
      <c r="Y382" s="1" t="str">
        <f t="shared" si="44"/>
        <v>Stage II</v>
      </c>
      <c r="Z382" s="10">
        <f t="shared" si="45"/>
        <v>74233.95</v>
      </c>
    </row>
    <row r="383" spans="1:26">
      <c r="A383" s="1" t="s">
        <v>441</v>
      </c>
      <c r="B383" s="1">
        <v>71</v>
      </c>
      <c r="C383" s="1" t="s">
        <v>541</v>
      </c>
      <c r="D383" s="1" t="str">
        <f>PROPER(Table3[[#This Row],[Gender]])</f>
        <v>Other</v>
      </c>
      <c r="E383" s="1" t="s">
        <v>565</v>
      </c>
      <c r="F383" s="1" t="str">
        <f>PROPER(Table3[[#This Row],[Country_Region]])</f>
        <v>Uk</v>
      </c>
      <c r="G383" s="1">
        <v>2023</v>
      </c>
      <c r="H383" s="1">
        <v>5.8</v>
      </c>
      <c r="I383" s="1">
        <f>IF(H383="", AVERAGEIF('CLEANED DATASET'!$G$2:$G$532,G383,'CLEANED DATASET'!$H433),H383)</f>
        <v>5.8</v>
      </c>
      <c r="J383" s="1">
        <v>1.9</v>
      </c>
      <c r="K383" s="1">
        <f t="shared" si="40"/>
        <v>1.9</v>
      </c>
      <c r="L383" s="1">
        <v>0</v>
      </c>
      <c r="M383" s="1">
        <f t="shared" si="41"/>
        <v>0</v>
      </c>
      <c r="N383" s="1">
        <v>1.5</v>
      </c>
      <c r="O383" s="1">
        <f t="shared" si="42"/>
        <v>1.5</v>
      </c>
      <c r="P383" s="1">
        <v>6.6</v>
      </c>
      <c r="Q383" s="1">
        <f t="shared" si="46"/>
        <v>6.6</v>
      </c>
      <c r="R383" s="1" t="s">
        <v>573</v>
      </c>
      <c r="S383" s="1" t="str">
        <f>PROPER(Table3[[#This Row],[Cancer_Type]])</f>
        <v>Breast</v>
      </c>
      <c r="T383" s="1" t="s">
        <v>591</v>
      </c>
      <c r="U383" s="4">
        <v>41814.17</v>
      </c>
      <c r="V383" s="1">
        <v>0.9</v>
      </c>
      <c r="W383" s="1">
        <f t="shared" ca="1" si="43"/>
        <v>2</v>
      </c>
      <c r="X383" s="3">
        <f>ROUND(I383+K383+M383+O383+Q383+(10-V383)/6, 2)</f>
        <v>17.32</v>
      </c>
      <c r="Y383" s="1" t="str">
        <f t="shared" si="44"/>
        <v>Stage IV</v>
      </c>
      <c r="Z383" s="10">
        <f t="shared" si="45"/>
        <v>41814.17</v>
      </c>
    </row>
    <row r="384" spans="1:26">
      <c r="A384" s="1" t="s">
        <v>156</v>
      </c>
      <c r="B384" s="1">
        <v>66</v>
      </c>
      <c r="C384" s="1" t="s">
        <v>542</v>
      </c>
      <c r="D384" s="1" t="str">
        <f>PROPER(Table3[[#This Row],[Gender]])</f>
        <v>Male</v>
      </c>
      <c r="E384" s="1" t="s">
        <v>548</v>
      </c>
      <c r="F384" s="1" t="str">
        <f>PROPER(Table3[[#This Row],[Country_Region]])</f>
        <v>Uk</v>
      </c>
      <c r="G384" s="1">
        <v>2022</v>
      </c>
      <c r="H384" s="1">
        <v>1.2</v>
      </c>
      <c r="I384" s="1">
        <f>IF(H384="", AVERAGEIF('CLEANED DATASET'!$G$2:$G$532,G384,'CLEANED DATASET'!$H148),H384)</f>
        <v>1.2</v>
      </c>
      <c r="J384" s="1">
        <v>1.8</v>
      </c>
      <c r="K384" s="1">
        <f t="shared" si="40"/>
        <v>1.8</v>
      </c>
      <c r="L384" s="1">
        <v>8.1</v>
      </c>
      <c r="M384" s="1">
        <f t="shared" si="41"/>
        <v>8.1</v>
      </c>
      <c r="N384" s="1">
        <v>9.6</v>
      </c>
      <c r="O384" s="1">
        <f t="shared" si="42"/>
        <v>9.6</v>
      </c>
      <c r="P384" s="1">
        <v>3.5</v>
      </c>
      <c r="Q384" s="1">
        <f t="shared" si="46"/>
        <v>3.5</v>
      </c>
      <c r="R384" s="1" t="s">
        <v>578</v>
      </c>
      <c r="S384" s="1" t="str">
        <f>PROPER(Table3[[#This Row],[Cancer_Type]])</f>
        <v>Liver</v>
      </c>
      <c r="T384" s="1" t="s">
        <v>590</v>
      </c>
      <c r="U384" s="4">
        <v>12597.88</v>
      </c>
      <c r="V384" s="1">
        <v>5.4</v>
      </c>
      <c r="W384" s="1">
        <f t="shared" ca="1" si="43"/>
        <v>5</v>
      </c>
      <c r="X384" s="1">
        <v>5.74</v>
      </c>
      <c r="Y384" s="1" t="str">
        <f t="shared" si="44"/>
        <v>Stage II</v>
      </c>
      <c r="Z384" s="10">
        <f t="shared" si="45"/>
        <v>12597.88</v>
      </c>
    </row>
    <row r="385" spans="1:26">
      <c r="A385" s="1" t="s">
        <v>332</v>
      </c>
      <c r="B385" s="1">
        <v>80</v>
      </c>
      <c r="C385" s="1" t="s">
        <v>541</v>
      </c>
      <c r="D385" s="1" t="str">
        <f>PROPER(Table3[[#This Row],[Gender]])</f>
        <v>Other</v>
      </c>
      <c r="E385" s="1" t="s">
        <v>551</v>
      </c>
      <c r="F385" s="1" t="str">
        <f>PROPER(Table3[[#This Row],[Country_Region]])</f>
        <v>Germany</v>
      </c>
      <c r="G385" s="1">
        <v>2022</v>
      </c>
      <c r="H385" s="1">
        <v>5</v>
      </c>
      <c r="I385" s="1">
        <f>IF(H385="", AVERAGEIF('CLEANED DATASET'!$G$2:$G$532,G385,'CLEANED DATASET'!$H324),H385)</f>
        <v>5</v>
      </c>
      <c r="J385" s="1">
        <v>2.9</v>
      </c>
      <c r="K385" s="1">
        <f t="shared" si="40"/>
        <v>2.9</v>
      </c>
      <c r="L385" s="1">
        <v>9.8000000000000007</v>
      </c>
      <c r="M385" s="1">
        <f t="shared" si="41"/>
        <v>9.8000000000000007</v>
      </c>
      <c r="N385" s="1">
        <v>0.7</v>
      </c>
      <c r="O385" s="1">
        <f t="shared" si="42"/>
        <v>0.7</v>
      </c>
      <c r="P385" s="1">
        <v>2.8</v>
      </c>
      <c r="Q385" s="3">
        <v>2.8</v>
      </c>
      <c r="R385" s="1" t="s">
        <v>573</v>
      </c>
      <c r="S385" s="1" t="str">
        <f>PROPER(Table3[[#This Row],[Cancer_Type]])</f>
        <v>Breast</v>
      </c>
      <c r="T385" s="1" t="s">
        <v>590</v>
      </c>
      <c r="U385" s="4">
        <v>51967.47</v>
      </c>
      <c r="V385" s="1">
        <f>ROUND(10-((I385+K385+M385+O385+Q385)/5),1)</f>
        <v>5.8</v>
      </c>
      <c r="W385" s="1">
        <f t="shared" ca="1" si="43"/>
        <v>5</v>
      </c>
      <c r="X385" s="1">
        <v>4.7</v>
      </c>
      <c r="Y385" s="1" t="str">
        <f t="shared" si="44"/>
        <v>Stage II</v>
      </c>
      <c r="Z385" s="10">
        <f t="shared" si="45"/>
        <v>51967.47</v>
      </c>
    </row>
    <row r="386" spans="1:26">
      <c r="A386" s="1" t="s">
        <v>461</v>
      </c>
      <c r="B386" s="1">
        <v>80</v>
      </c>
      <c r="C386" s="1" t="s">
        <v>546</v>
      </c>
      <c r="D386" s="1" t="str">
        <f>PROPER(Table3[[#This Row],[Gender]])</f>
        <v>Unknown</v>
      </c>
      <c r="E386" s="1" t="s">
        <v>548</v>
      </c>
      <c r="F386" s="1" t="str">
        <f>PROPER(Table3[[#This Row],[Country_Region]])</f>
        <v>Uk</v>
      </c>
      <c r="G386" s="1">
        <v>2024</v>
      </c>
      <c r="H386" s="1">
        <v>2.6</v>
      </c>
      <c r="I386" s="1">
        <f>IF(H386="", AVERAGEIF('CLEANED DATASET'!$G$2:$G$532,G386,'CLEANED DATASET'!$H453),H386)</f>
        <v>2.6</v>
      </c>
      <c r="J386" s="1">
        <v>5.0999999999999996</v>
      </c>
      <c r="K386" s="1">
        <f t="shared" ref="K386:K449" si="47">IF(J386="",ROUND(AVERAGEIF(G390:G916,G386,J386:J916),1),J386)</f>
        <v>5.0999999999999996</v>
      </c>
      <c r="L386" s="1">
        <v>1.3</v>
      </c>
      <c r="M386" s="1">
        <f t="shared" ref="M386:M449" si="48">IF(L386="", AVERAGEIF(G386:G916, G386,L386:L916),L386)</f>
        <v>1.3</v>
      </c>
      <c r="N386" s="1">
        <v>7.7</v>
      </c>
      <c r="O386" s="1">
        <f t="shared" ref="O386:O449" si="49">IF(N386="",AVERAGEIF(G386:G916,G386,N386:N916),N386)</f>
        <v>7.7</v>
      </c>
      <c r="P386" s="1">
        <v>9.5</v>
      </c>
      <c r="Q386" s="1">
        <f t="shared" ref="Q386:Q417" si="50">IF(P386="",AVERAGEIF(G386:G916,G386,P386:P916),P386)</f>
        <v>9.5</v>
      </c>
      <c r="R386" s="1" t="s">
        <v>571</v>
      </c>
      <c r="S386" s="1" t="str">
        <f>PROPER(Table3[[#This Row],[Cancer_Type]])</f>
        <v>Lung</v>
      </c>
      <c r="T386" s="1" t="s">
        <v>591</v>
      </c>
      <c r="U386" s="4">
        <v>29727.4</v>
      </c>
      <c r="V386" s="1">
        <v>6.6</v>
      </c>
      <c r="W386" s="1">
        <f t="shared" ref="W386:W449" ca="1" si="51">IF(Y386="Stage 0",RANDBETWEEN(9,10),
IF(Y386="Stage I",RANDBETWEEN(7,8),
IF(Y386="Stage II",RANDBETWEEN(5,6),
IF(Y386="Stage III",RANDBETWEEN(3,4),
IF(Y386="Stage IV",RANDBETWEEN(1,2),"")))))</f>
        <v>6</v>
      </c>
      <c r="X386" s="1">
        <v>5.38</v>
      </c>
      <c r="Y386" s="1" t="str">
        <f t="shared" ref="Y386:Y449" si="52">IF(X386&lt;=2,"Stage 0",IF(X386&lt;=4,"Stage I",IF(X386&lt;=6,"Stage II",IF(X386&lt;=8,"Stage III", "Stage IV"))))</f>
        <v>Stage II</v>
      </c>
      <c r="Z386" s="10">
        <f t="shared" si="45"/>
        <v>29727.4</v>
      </c>
    </row>
    <row r="387" spans="1:26">
      <c r="A387" s="1" t="s">
        <v>161</v>
      </c>
      <c r="B387" s="1">
        <v>76</v>
      </c>
      <c r="C387" s="1" t="s">
        <v>543</v>
      </c>
      <c r="D387" s="1" t="str">
        <f>PROPER(Table3[[#This Row],[Gender]])</f>
        <v>Female</v>
      </c>
      <c r="E387" s="1" t="s">
        <v>549</v>
      </c>
      <c r="F387" s="1" t="str">
        <f>PROPER(Table3[[#This Row],[Country_Region]])</f>
        <v>Australia</v>
      </c>
      <c r="G387" s="1">
        <v>2024</v>
      </c>
      <c r="H387" s="1">
        <v>2.7</v>
      </c>
      <c r="I387" s="1">
        <f>IF(H387="", AVERAGEIF('CLEANED DATASET'!$G$2:$G$532,G387,'CLEANED DATASET'!$H153),H387)</f>
        <v>2.7</v>
      </c>
      <c r="J387" s="1">
        <v>8.6999999999999993</v>
      </c>
      <c r="K387" s="1">
        <f t="shared" si="47"/>
        <v>8.6999999999999993</v>
      </c>
      <c r="L387" s="1">
        <v>6.4</v>
      </c>
      <c r="M387" s="1">
        <f t="shared" si="48"/>
        <v>6.4</v>
      </c>
      <c r="N387" s="1">
        <v>8.8000000000000007</v>
      </c>
      <c r="O387" s="1">
        <f t="shared" si="49"/>
        <v>8.8000000000000007</v>
      </c>
      <c r="P387" s="1">
        <v>2.8</v>
      </c>
      <c r="Q387" s="1">
        <f t="shared" si="50"/>
        <v>2.8</v>
      </c>
      <c r="R387" s="1" t="s">
        <v>574</v>
      </c>
      <c r="S387" s="1" t="str">
        <f>PROPER(Table3[[#This Row],[Cancer_Type]])</f>
        <v>Colon</v>
      </c>
      <c r="T387" s="1" t="s">
        <v>591</v>
      </c>
      <c r="U387" s="4">
        <v>41649.64</v>
      </c>
      <c r="V387" s="1">
        <v>9.1999999999999993</v>
      </c>
      <c r="W387" s="1">
        <f t="shared" ca="1" si="51"/>
        <v>4</v>
      </c>
      <c r="X387" s="1">
        <v>6.01</v>
      </c>
      <c r="Y387" s="1" t="str">
        <f t="shared" si="52"/>
        <v>Stage III</v>
      </c>
      <c r="Z387" s="10">
        <f t="shared" si="45"/>
        <v>41649.64</v>
      </c>
    </row>
    <row r="388" spans="1:26">
      <c r="A388" s="1" t="s">
        <v>149</v>
      </c>
      <c r="B388" s="1">
        <v>64</v>
      </c>
      <c r="C388" s="1" t="s">
        <v>542</v>
      </c>
      <c r="D388" s="1" t="str">
        <f>PROPER(Table3[[#This Row],[Gender]])</f>
        <v>Male</v>
      </c>
      <c r="E388" s="1" t="s">
        <v>554</v>
      </c>
      <c r="F388" s="1" t="str">
        <f>PROPER(Table3[[#This Row],[Country_Region]])</f>
        <v>Brazil</v>
      </c>
      <c r="G388" s="1">
        <v>2024</v>
      </c>
      <c r="H388" s="1">
        <v>6.4</v>
      </c>
      <c r="I388" s="1">
        <f>IF(H388="", AVERAGEIF('CLEANED DATASET'!$G$2:$G$532,G388,'CLEANED DATASET'!$H141),H388)</f>
        <v>6.4</v>
      </c>
      <c r="J388" s="1">
        <v>2.5</v>
      </c>
      <c r="K388" s="1">
        <f t="shared" si="47"/>
        <v>2.5</v>
      </c>
      <c r="L388" s="1">
        <v>1.2</v>
      </c>
      <c r="M388" s="1">
        <f t="shared" si="48"/>
        <v>1.2</v>
      </c>
      <c r="N388" s="1">
        <v>3.8</v>
      </c>
      <c r="O388" s="1">
        <f t="shared" si="49"/>
        <v>3.8</v>
      </c>
      <c r="P388" s="1">
        <v>7.5</v>
      </c>
      <c r="Q388" s="1">
        <f t="shared" si="50"/>
        <v>7.5</v>
      </c>
      <c r="R388" s="1" t="s">
        <v>576</v>
      </c>
      <c r="S388" s="1" t="str">
        <f>PROPER(Table3[[#This Row],[Cancer_Type]])</f>
        <v>Cervical</v>
      </c>
      <c r="T388" s="1" t="s">
        <v>592</v>
      </c>
      <c r="U388" s="4"/>
      <c r="V388" s="1">
        <v>1.6</v>
      </c>
      <c r="W388" s="1">
        <f t="shared" ca="1" si="51"/>
        <v>5</v>
      </c>
      <c r="X388" s="1">
        <v>5.23</v>
      </c>
      <c r="Y388" s="1" t="str">
        <f t="shared" si="52"/>
        <v>Stage II</v>
      </c>
      <c r="Z388" s="10">
        <f t="shared" si="45"/>
        <v>59537.4</v>
      </c>
    </row>
    <row r="389" spans="1:26">
      <c r="A389" s="1" t="s">
        <v>214</v>
      </c>
      <c r="B389" s="1">
        <v>59</v>
      </c>
      <c r="C389" s="1" t="s">
        <v>543</v>
      </c>
      <c r="D389" s="1" t="str">
        <f>PROPER(Table3[[#This Row],[Gender]])</f>
        <v>Female</v>
      </c>
      <c r="E389" s="1" t="s">
        <v>553</v>
      </c>
      <c r="F389" s="1" t="str">
        <f>PROPER(Table3[[#This Row],[Country_Region]])</f>
        <v>Canada</v>
      </c>
      <c r="G389" s="1">
        <v>2024</v>
      </c>
      <c r="H389" s="1">
        <v>5.6</v>
      </c>
      <c r="I389" s="1">
        <f>IF(H389="", AVERAGEIF('CLEANED DATASET'!$G$2:$G$532,G389,'CLEANED DATASET'!$H206),H389)</f>
        <v>5.6</v>
      </c>
      <c r="J389" s="1">
        <v>6.5</v>
      </c>
      <c r="K389" s="1">
        <f t="shared" si="47"/>
        <v>6.5</v>
      </c>
      <c r="L389" s="1">
        <v>5.0999999999999996</v>
      </c>
      <c r="M389" s="1">
        <f t="shared" si="48"/>
        <v>5.0999999999999996</v>
      </c>
      <c r="N389" s="1">
        <v>9.8000000000000007</v>
      </c>
      <c r="O389" s="1">
        <f t="shared" si="49"/>
        <v>9.8000000000000007</v>
      </c>
      <c r="P389" s="1">
        <v>5.0999999999999996</v>
      </c>
      <c r="Q389" s="1">
        <f t="shared" si="50"/>
        <v>5.0999999999999996</v>
      </c>
      <c r="R389" s="1" t="s">
        <v>572</v>
      </c>
      <c r="S389" s="1" t="str">
        <f>PROPER(Table3[[#This Row],[Cancer_Type]])</f>
        <v>Leukemia</v>
      </c>
      <c r="T389" s="1"/>
      <c r="U389" s="4"/>
      <c r="V389" s="1">
        <f>ROUND(10-((I389+K389+M389+O389+Q389)/5),1)</f>
        <v>3.6</v>
      </c>
      <c r="W389" s="1">
        <f t="shared" ca="1" si="51"/>
        <v>5</v>
      </c>
      <c r="X389" s="1">
        <v>5.45</v>
      </c>
      <c r="Y389" s="1" t="str">
        <f t="shared" si="52"/>
        <v>Stage II</v>
      </c>
      <c r="Z389" s="10">
        <f t="shared" si="45"/>
        <v>50814.69</v>
      </c>
    </row>
    <row r="390" spans="1:26">
      <c r="A390" s="1" t="s">
        <v>353</v>
      </c>
      <c r="B390" s="1">
        <v>45</v>
      </c>
      <c r="C390" s="1" t="s">
        <v>542</v>
      </c>
      <c r="D390" s="1" t="str">
        <f>PROPER(Table3[[#This Row],[Gender]])</f>
        <v>Male</v>
      </c>
      <c r="E390" s="1" t="s">
        <v>548</v>
      </c>
      <c r="F390" s="1" t="str">
        <f>PROPER(Table3[[#This Row],[Country_Region]])</f>
        <v>Uk</v>
      </c>
      <c r="G390" s="1">
        <v>2023</v>
      </c>
      <c r="H390" s="1">
        <v>8.6999999999999993</v>
      </c>
      <c r="I390" s="1">
        <f>IF(H390="", AVERAGEIF('CLEANED DATASET'!$G$2:$G$532,G390,'CLEANED DATASET'!$H345),H390)</f>
        <v>8.6999999999999993</v>
      </c>
      <c r="J390" s="1">
        <v>8.3000000000000007</v>
      </c>
      <c r="K390" s="1">
        <f t="shared" si="47"/>
        <v>8.3000000000000007</v>
      </c>
      <c r="L390" s="1">
        <v>0.9</v>
      </c>
      <c r="M390" s="1">
        <f t="shared" si="48"/>
        <v>0.9</v>
      </c>
      <c r="N390" s="1">
        <v>5.3</v>
      </c>
      <c r="O390" s="1">
        <f t="shared" si="49"/>
        <v>5.3</v>
      </c>
      <c r="P390" s="1">
        <v>6.3</v>
      </c>
      <c r="Q390" s="1">
        <f t="shared" si="50"/>
        <v>6.3</v>
      </c>
      <c r="R390" s="1" t="s">
        <v>574</v>
      </c>
      <c r="S390" s="1" t="str">
        <f>PROPER(Table3[[#This Row],[Cancer_Type]])</f>
        <v>Colon</v>
      </c>
      <c r="T390" s="1" t="s">
        <v>590</v>
      </c>
      <c r="U390" s="4">
        <v>61941.68</v>
      </c>
      <c r="V390" s="1">
        <v>0.3</v>
      </c>
      <c r="W390" s="1">
        <f t="shared" ca="1" si="51"/>
        <v>5</v>
      </c>
      <c r="X390" s="1">
        <v>5.57</v>
      </c>
      <c r="Y390" s="1" t="str">
        <f t="shared" si="52"/>
        <v>Stage II</v>
      </c>
      <c r="Z390" s="10">
        <f t="shared" si="45"/>
        <v>61941.68</v>
      </c>
    </row>
    <row r="391" spans="1:26">
      <c r="A391" s="1" t="s">
        <v>291</v>
      </c>
      <c r="B391" s="1">
        <v>85</v>
      </c>
      <c r="C391" s="1" t="s">
        <v>616</v>
      </c>
      <c r="D391" s="1" t="str">
        <f>PROPER(Table3[[#This Row],[Gender]])</f>
        <v>Male</v>
      </c>
      <c r="E391" s="1" t="s">
        <v>550</v>
      </c>
      <c r="F391" s="1" t="str">
        <f>PROPER(Table3[[#This Row],[Country_Region]])</f>
        <v>Pakistan</v>
      </c>
      <c r="G391" s="1">
        <v>2022</v>
      </c>
      <c r="H391" s="1">
        <v>0.1</v>
      </c>
      <c r="I391" s="1">
        <f>IF(H391="", AVERAGEIF('CLEANED DATASET'!$G$2:$G$532,G391,'CLEANED DATASET'!$H283),H391)</f>
        <v>0.1</v>
      </c>
      <c r="J391" s="1">
        <v>6.1</v>
      </c>
      <c r="K391" s="1">
        <f t="shared" si="47"/>
        <v>6.1</v>
      </c>
      <c r="L391" s="1">
        <v>9</v>
      </c>
      <c r="M391" s="1">
        <f t="shared" si="48"/>
        <v>9</v>
      </c>
      <c r="N391" s="1">
        <v>2.2000000000000002</v>
      </c>
      <c r="O391" s="1">
        <f t="shared" si="49"/>
        <v>2.2000000000000002</v>
      </c>
      <c r="P391" s="1">
        <v>5.3</v>
      </c>
      <c r="Q391" s="1">
        <f t="shared" si="50"/>
        <v>5.3</v>
      </c>
      <c r="R391" s="1" t="s">
        <v>573</v>
      </c>
      <c r="S391" s="1" t="str">
        <f>PROPER(Table3[[#This Row],[Cancer_Type]])</f>
        <v>Breast</v>
      </c>
      <c r="T391" s="1"/>
      <c r="U391" s="4">
        <v>37224.89</v>
      </c>
      <c r="V391" s="1">
        <v>8.4</v>
      </c>
      <c r="W391" s="1">
        <f t="shared" ca="1" si="51"/>
        <v>5</v>
      </c>
      <c r="X391" s="1">
        <v>4.51</v>
      </c>
      <c r="Y391" s="1" t="str">
        <f t="shared" si="52"/>
        <v>Stage II</v>
      </c>
      <c r="Z391" s="10">
        <f t="shared" si="45"/>
        <v>37224.89</v>
      </c>
    </row>
    <row r="392" spans="1:26">
      <c r="A392" s="1" t="s">
        <v>428</v>
      </c>
      <c r="B392" s="1">
        <v>76</v>
      </c>
      <c r="C392" s="1" t="s">
        <v>542</v>
      </c>
      <c r="D392" s="1" t="str">
        <f>PROPER(Table3[[#This Row],[Gender]])</f>
        <v>Male</v>
      </c>
      <c r="E392" s="1" t="s">
        <v>641</v>
      </c>
      <c r="F392" s="1" t="str">
        <f>PROPER(Table3[[#This Row],[Country_Region]])</f>
        <v>Australia</v>
      </c>
      <c r="G392" s="1">
        <v>2023</v>
      </c>
      <c r="H392" s="1">
        <v>4.4000000000000004</v>
      </c>
      <c r="I392" s="1">
        <f>IF(H392="", AVERAGEIF('CLEANED DATASET'!$G$2:$G$532,G392,'CLEANED DATASET'!$H420),H392)</f>
        <v>4.4000000000000004</v>
      </c>
      <c r="J392" s="1">
        <v>9.4</v>
      </c>
      <c r="K392" s="1">
        <f t="shared" si="47"/>
        <v>9.4</v>
      </c>
      <c r="L392" s="1">
        <v>4.9000000000000004</v>
      </c>
      <c r="M392" s="1">
        <f t="shared" si="48"/>
        <v>4.9000000000000004</v>
      </c>
      <c r="N392" s="1">
        <v>2.2000000000000002</v>
      </c>
      <c r="O392" s="1">
        <f t="shared" si="49"/>
        <v>2.2000000000000002</v>
      </c>
      <c r="P392" s="1">
        <v>1</v>
      </c>
      <c r="Q392" s="1">
        <f t="shared" si="50"/>
        <v>1</v>
      </c>
      <c r="R392" s="1" t="s">
        <v>576</v>
      </c>
      <c r="S392" s="1" t="str">
        <f>PROPER(Table3[[#This Row],[Cancer_Type]])</f>
        <v>Cervical</v>
      </c>
      <c r="T392" s="1" t="s">
        <v>591</v>
      </c>
      <c r="U392" s="4">
        <v>29507.62</v>
      </c>
      <c r="V392" s="1">
        <f>ROUND(10-((I392+K392+M392+O392+Q392)/5),1)</f>
        <v>5.6</v>
      </c>
      <c r="W392" s="1">
        <f t="shared" ca="1" si="51"/>
        <v>5</v>
      </c>
      <c r="X392" s="1">
        <v>4.97</v>
      </c>
      <c r="Y392" s="1" t="str">
        <f t="shared" si="52"/>
        <v>Stage II</v>
      </c>
      <c r="Z392" s="10">
        <f t="shared" si="45"/>
        <v>29507.62</v>
      </c>
    </row>
    <row r="393" spans="1:26">
      <c r="A393" s="1" t="s">
        <v>242</v>
      </c>
      <c r="B393" s="1">
        <v>44</v>
      </c>
      <c r="C393" s="1" t="s">
        <v>541</v>
      </c>
      <c r="D393" s="1" t="str">
        <f>PROPER(Table3[[#This Row],[Gender]])</f>
        <v>Other</v>
      </c>
      <c r="E393" s="1" t="s">
        <v>555</v>
      </c>
      <c r="F393" s="1" t="str">
        <f>PROPER(Table3[[#This Row],[Country_Region]])</f>
        <v>Russia</v>
      </c>
      <c r="G393" s="1">
        <v>2024</v>
      </c>
      <c r="H393" s="1">
        <v>9.6999999999999993</v>
      </c>
      <c r="I393" s="1">
        <f>IF(H393="", AVERAGEIF('CLEANED DATASET'!$G$2:$G$532,G393,'CLEANED DATASET'!$H234),H393)</f>
        <v>9.6999999999999993</v>
      </c>
      <c r="J393" s="1">
        <v>4.5</v>
      </c>
      <c r="K393" s="1">
        <f t="shared" si="47"/>
        <v>4.5</v>
      </c>
      <c r="L393" s="1">
        <v>9.6</v>
      </c>
      <c r="M393" s="1">
        <f t="shared" si="48"/>
        <v>9.6</v>
      </c>
      <c r="N393" s="1">
        <v>2.4</v>
      </c>
      <c r="O393" s="1">
        <f t="shared" si="49"/>
        <v>2.4</v>
      </c>
      <c r="P393" s="1">
        <v>4.5</v>
      </c>
      <c r="Q393" s="1">
        <f t="shared" si="50"/>
        <v>4.5</v>
      </c>
      <c r="R393" s="1" t="s">
        <v>578</v>
      </c>
      <c r="S393" s="1" t="str">
        <f>PROPER(Table3[[#This Row],[Cancer_Type]])</f>
        <v>Liver</v>
      </c>
      <c r="T393" s="1" t="s">
        <v>590</v>
      </c>
      <c r="U393" s="4">
        <v>60540.97</v>
      </c>
      <c r="V393" s="1">
        <v>3</v>
      </c>
      <c r="W393" s="1">
        <f t="shared" ca="1" si="51"/>
        <v>6</v>
      </c>
      <c r="X393" s="1">
        <v>5.77</v>
      </c>
      <c r="Y393" s="1" t="str">
        <f t="shared" si="52"/>
        <v>Stage II</v>
      </c>
      <c r="Z393" s="10">
        <f t="shared" ref="Z393:Z456" si="53">IF(U393&lt;&gt;"",U393,ROUND(AVERAGEIF(S393:S923,S393,U393:U923),2))</f>
        <v>60540.97</v>
      </c>
    </row>
    <row r="394" spans="1:26">
      <c r="A394" s="1" t="s">
        <v>324</v>
      </c>
      <c r="B394" s="1">
        <v>29</v>
      </c>
      <c r="C394" s="1" t="s">
        <v>543</v>
      </c>
      <c r="D394" s="1" t="str">
        <f>PROPER(Table3[[#This Row],[Gender]])</f>
        <v>Female</v>
      </c>
      <c r="E394" s="1" t="s">
        <v>555</v>
      </c>
      <c r="F394" s="1" t="str">
        <f>PROPER(Table3[[#This Row],[Country_Region]])</f>
        <v>Russia</v>
      </c>
      <c r="G394" s="1">
        <v>2022</v>
      </c>
      <c r="H394" s="1">
        <v>5.0999999999999996</v>
      </c>
      <c r="I394" s="1">
        <f>IF(H394="", AVERAGEIF('CLEANED DATASET'!$G$2:$G$532,G394,'CLEANED DATASET'!$H316),H394)</f>
        <v>5.0999999999999996</v>
      </c>
      <c r="J394" s="1"/>
      <c r="K394" s="1">
        <f t="shared" si="47"/>
        <v>5</v>
      </c>
      <c r="L394" s="1">
        <v>4.7</v>
      </c>
      <c r="M394" s="1">
        <f t="shared" si="48"/>
        <v>4.7</v>
      </c>
      <c r="N394" s="1">
        <v>8.6999999999999993</v>
      </c>
      <c r="O394" s="1">
        <f t="shared" si="49"/>
        <v>8.6999999999999993</v>
      </c>
      <c r="P394" s="1">
        <v>4.4000000000000004</v>
      </c>
      <c r="Q394" s="1">
        <f t="shared" si="50"/>
        <v>4.4000000000000004</v>
      </c>
      <c r="R394" s="1" t="s">
        <v>571</v>
      </c>
      <c r="S394" s="1" t="str">
        <f>PROPER(Table3[[#This Row],[Cancer_Type]])</f>
        <v>Lung</v>
      </c>
      <c r="T394" s="1" t="s">
        <v>594</v>
      </c>
      <c r="U394" s="4">
        <v>70157.789999999994</v>
      </c>
      <c r="V394" s="1">
        <v>5.5</v>
      </c>
      <c r="W394" s="1">
        <f t="shared" ca="1" si="51"/>
        <v>5</v>
      </c>
      <c r="X394" s="1">
        <v>5.73</v>
      </c>
      <c r="Y394" s="1" t="str">
        <f t="shared" si="52"/>
        <v>Stage II</v>
      </c>
      <c r="Z394" s="10">
        <f t="shared" si="53"/>
        <v>70157.789999999994</v>
      </c>
    </row>
    <row r="395" spans="1:26">
      <c r="A395" s="1" t="s">
        <v>285</v>
      </c>
      <c r="B395" s="1">
        <v>73</v>
      </c>
      <c r="C395" s="1" t="s">
        <v>546</v>
      </c>
      <c r="D395" s="1" t="str">
        <f>PROPER(Table3[[#This Row],[Gender]])</f>
        <v>Unknown</v>
      </c>
      <c r="E395" s="1" t="s">
        <v>550</v>
      </c>
      <c r="F395" s="1" t="str">
        <f>PROPER(Table3[[#This Row],[Country_Region]])</f>
        <v>Pakistan</v>
      </c>
      <c r="G395" s="1">
        <v>2022</v>
      </c>
      <c r="H395" s="1">
        <v>5.5</v>
      </c>
      <c r="I395" s="1">
        <f>IF(H395="", AVERAGEIF('CLEANED DATASET'!$G$2:$G$532,G395,'CLEANED DATASET'!$H277),H395)</f>
        <v>5.5</v>
      </c>
      <c r="J395" s="1"/>
      <c r="K395" s="1">
        <f t="shared" si="47"/>
        <v>5</v>
      </c>
      <c r="L395" s="1">
        <v>0.8</v>
      </c>
      <c r="M395" s="1">
        <f t="shared" si="48"/>
        <v>0.8</v>
      </c>
      <c r="N395" s="1">
        <v>3</v>
      </c>
      <c r="O395" s="1">
        <f t="shared" si="49"/>
        <v>3</v>
      </c>
      <c r="P395" s="1">
        <v>1.6</v>
      </c>
      <c r="Q395" s="1">
        <f t="shared" si="50"/>
        <v>1.6</v>
      </c>
      <c r="R395" s="1" t="s">
        <v>603</v>
      </c>
      <c r="S395" s="1" t="str">
        <f>PROPER(Table3[[#This Row],[Cancer_Type]])</f>
        <v>Unknown</v>
      </c>
      <c r="T395" s="1"/>
      <c r="U395" s="4">
        <v>39764.6</v>
      </c>
      <c r="V395" s="1">
        <v>7.4</v>
      </c>
      <c r="W395" s="1">
        <f t="shared" ca="1" si="51"/>
        <v>7</v>
      </c>
      <c r="X395" s="1">
        <v>3.87</v>
      </c>
      <c r="Y395" s="1" t="str">
        <f t="shared" si="52"/>
        <v>Stage I</v>
      </c>
      <c r="Z395" s="10">
        <f t="shared" si="53"/>
        <v>39764.6</v>
      </c>
    </row>
    <row r="396" spans="1:26">
      <c r="A396" s="1" t="s">
        <v>468</v>
      </c>
      <c r="B396" s="1">
        <v>99</v>
      </c>
      <c r="C396" s="1" t="s">
        <v>543</v>
      </c>
      <c r="D396" s="1" t="str">
        <f>PROPER(Table3[[#This Row],[Gender]])</f>
        <v>Female</v>
      </c>
      <c r="E396" s="1" t="s">
        <v>625</v>
      </c>
      <c r="F396" s="1" t="str">
        <f>PROPER(Table3[[#This Row],[Country_Region]])</f>
        <v>China</v>
      </c>
      <c r="G396" s="1">
        <v>2023</v>
      </c>
      <c r="H396" s="1"/>
      <c r="I396" s="3">
        <f ca="1">IF(H396="", AVERAGEIF('CLEANED DATASET'!$G$2:$G$532,G396,'CLEANED DATASET'!$H460),H396)</f>
        <v>4.4409090909090914</v>
      </c>
      <c r="J396" s="1">
        <v>7.9</v>
      </c>
      <c r="K396" s="1">
        <f t="shared" si="47"/>
        <v>7.9</v>
      </c>
      <c r="L396" s="1">
        <v>2.6</v>
      </c>
      <c r="M396" s="1">
        <f t="shared" si="48"/>
        <v>2.6</v>
      </c>
      <c r="N396" s="1"/>
      <c r="O396" s="3">
        <f t="shared" si="49"/>
        <v>5.2512195121951217</v>
      </c>
      <c r="P396" s="1">
        <v>7.1</v>
      </c>
      <c r="Q396" s="1">
        <f t="shared" si="50"/>
        <v>7.1</v>
      </c>
      <c r="R396" s="1" t="s">
        <v>589</v>
      </c>
      <c r="S396" s="1" t="str">
        <f>PROPER(Table3[[#This Row],[Cancer_Type]])</f>
        <v>Skin</v>
      </c>
      <c r="T396" s="1" t="s">
        <v>590</v>
      </c>
      <c r="U396" s="4">
        <v>64226.9</v>
      </c>
      <c r="V396" s="1">
        <v>5.6</v>
      </c>
      <c r="W396" s="1">
        <f t="shared" ca="1" si="51"/>
        <v>5</v>
      </c>
      <c r="X396" s="1">
        <v>4.3</v>
      </c>
      <c r="Y396" s="1" t="str">
        <f t="shared" si="52"/>
        <v>Stage II</v>
      </c>
      <c r="Z396" s="10">
        <f t="shared" si="53"/>
        <v>64226.9</v>
      </c>
    </row>
    <row r="397" spans="1:26">
      <c r="A397" s="1" t="s">
        <v>521</v>
      </c>
      <c r="B397" s="1">
        <v>84</v>
      </c>
      <c r="C397" s="1" t="s">
        <v>542</v>
      </c>
      <c r="D397" s="1" t="str">
        <f>PROPER(Table3[[#This Row],[Gender]])</f>
        <v>Male</v>
      </c>
      <c r="E397" s="1" t="s">
        <v>556</v>
      </c>
      <c r="F397" s="1" t="str">
        <f>PROPER(Table3[[#This Row],[Country_Region]])</f>
        <v>India</v>
      </c>
      <c r="G397" s="1">
        <v>2024</v>
      </c>
      <c r="H397" s="1">
        <v>4.2</v>
      </c>
      <c r="I397" s="1">
        <f>IF(H397="", AVERAGEIF('CLEANED DATASET'!$G$2:$G$532,G397,'CLEANED DATASET'!$H513),H397)</f>
        <v>4.2</v>
      </c>
      <c r="J397" s="1">
        <v>7</v>
      </c>
      <c r="K397" s="1">
        <f t="shared" si="47"/>
        <v>7</v>
      </c>
      <c r="L397" s="1">
        <v>2.5</v>
      </c>
      <c r="M397" s="1">
        <f t="shared" si="48"/>
        <v>2.5</v>
      </c>
      <c r="N397" s="1">
        <v>8.6999999999999993</v>
      </c>
      <c r="O397" s="1">
        <f t="shared" si="49"/>
        <v>8.6999999999999993</v>
      </c>
      <c r="P397" s="1">
        <v>5.4</v>
      </c>
      <c r="Q397" s="1">
        <f t="shared" si="50"/>
        <v>5.4</v>
      </c>
      <c r="R397" s="1" t="s">
        <v>578</v>
      </c>
      <c r="S397" s="1" t="str">
        <f>PROPER(Table3[[#This Row],[Cancer_Type]])</f>
        <v>Liver</v>
      </c>
      <c r="T397" s="1" t="s">
        <v>590</v>
      </c>
      <c r="U397" s="4">
        <v>27367.02</v>
      </c>
      <c r="V397" s="1">
        <f>ROUND(10-((I397+K397+M397+O397+Q397)/5),1)</f>
        <v>4.4000000000000004</v>
      </c>
      <c r="W397" s="1">
        <f t="shared" ca="1" si="51"/>
        <v>6</v>
      </c>
      <c r="X397" s="1">
        <v>6</v>
      </c>
      <c r="Y397" s="1" t="str">
        <f t="shared" si="52"/>
        <v>Stage II</v>
      </c>
      <c r="Z397" s="10">
        <f t="shared" si="53"/>
        <v>27367.02</v>
      </c>
    </row>
    <row r="398" spans="1:26">
      <c r="A398" s="1" t="s">
        <v>91</v>
      </c>
      <c r="B398" s="1">
        <v>79</v>
      </c>
      <c r="C398" s="1" t="s">
        <v>542</v>
      </c>
      <c r="D398" s="1" t="str">
        <f>PROPER(Table3[[#This Row],[Gender]])</f>
        <v>Male</v>
      </c>
      <c r="E398" s="1" t="s">
        <v>550</v>
      </c>
      <c r="F398" s="1" t="str">
        <f>PROPER(Table3[[#This Row],[Country_Region]])</f>
        <v>Pakistan</v>
      </c>
      <c r="G398" s="1">
        <v>2024</v>
      </c>
      <c r="H398" s="1">
        <v>9.1999999999999993</v>
      </c>
      <c r="I398" s="1">
        <f>IF(H398="", AVERAGEIF('CLEANED DATASET'!$G$2:$G$532,G398,'CLEANED DATASET'!$H83),H398)</f>
        <v>9.1999999999999993</v>
      </c>
      <c r="J398" s="1">
        <v>2.7</v>
      </c>
      <c r="K398" s="1">
        <f t="shared" si="47"/>
        <v>2.7</v>
      </c>
      <c r="L398" s="1">
        <v>2</v>
      </c>
      <c r="M398" s="1">
        <f t="shared" si="48"/>
        <v>2</v>
      </c>
      <c r="N398" s="1">
        <v>8</v>
      </c>
      <c r="O398" s="1">
        <f t="shared" si="49"/>
        <v>8</v>
      </c>
      <c r="P398" s="1">
        <v>4.7</v>
      </c>
      <c r="Q398" s="1">
        <f t="shared" si="50"/>
        <v>4.7</v>
      </c>
      <c r="R398" s="1" t="s">
        <v>571</v>
      </c>
      <c r="S398" s="1" t="str">
        <f>PROPER(Table3[[#This Row],[Cancer_Type]])</f>
        <v>Lung</v>
      </c>
      <c r="T398" s="1" t="s">
        <v>592</v>
      </c>
      <c r="U398" s="4">
        <v>38672.839999999997</v>
      </c>
      <c r="V398" s="1">
        <v>10</v>
      </c>
      <c r="W398" s="1">
        <f t="shared" ca="1" si="51"/>
        <v>6</v>
      </c>
      <c r="X398" s="1">
        <v>5.84</v>
      </c>
      <c r="Y398" s="1" t="str">
        <f t="shared" si="52"/>
        <v>Stage II</v>
      </c>
      <c r="Z398" s="10">
        <f t="shared" si="53"/>
        <v>38672.839999999997</v>
      </c>
    </row>
    <row r="399" spans="1:26">
      <c r="A399" s="1" t="s">
        <v>150</v>
      </c>
      <c r="B399" s="1">
        <v>68</v>
      </c>
      <c r="C399" s="1" t="s">
        <v>542</v>
      </c>
      <c r="D399" s="1" t="str">
        <f>PROPER(Table3[[#This Row],[Gender]])</f>
        <v>Male</v>
      </c>
      <c r="E399" s="1" t="s">
        <v>552</v>
      </c>
      <c r="F399" s="1" t="str">
        <f>PROPER(Table3[[#This Row],[Country_Region]])</f>
        <v>China</v>
      </c>
      <c r="G399" s="1">
        <v>2022</v>
      </c>
      <c r="H399" s="1">
        <v>3.8</v>
      </c>
      <c r="I399" s="1">
        <f>IF(H399="", AVERAGEIF('CLEANED DATASET'!$G$2:$G$532,G399,'CLEANED DATASET'!$H142),H399)</f>
        <v>3.8</v>
      </c>
      <c r="J399" s="1">
        <v>3.8</v>
      </c>
      <c r="K399" s="1">
        <f t="shared" si="47"/>
        <v>3.8</v>
      </c>
      <c r="L399" s="1">
        <v>2.5</v>
      </c>
      <c r="M399" s="1">
        <f t="shared" si="48"/>
        <v>2.5</v>
      </c>
      <c r="N399" s="1">
        <v>2.6</v>
      </c>
      <c r="O399" s="1">
        <f t="shared" si="49"/>
        <v>2.6</v>
      </c>
      <c r="P399" s="1">
        <v>8</v>
      </c>
      <c r="Q399" s="1">
        <f t="shared" si="50"/>
        <v>8</v>
      </c>
      <c r="R399" s="1" t="s">
        <v>574</v>
      </c>
      <c r="S399" s="1" t="str">
        <f>PROPER(Table3[[#This Row],[Cancer_Type]])</f>
        <v>Colon</v>
      </c>
      <c r="T399" s="1" t="s">
        <v>593</v>
      </c>
      <c r="U399" s="4">
        <v>81633.509999999995</v>
      </c>
      <c r="V399" s="1">
        <v>2.2999999999999998</v>
      </c>
      <c r="W399" s="1">
        <f t="shared" ca="1" si="51"/>
        <v>8</v>
      </c>
      <c r="X399" s="1">
        <v>3.39</v>
      </c>
      <c r="Y399" s="1" t="str">
        <f t="shared" si="52"/>
        <v>Stage I</v>
      </c>
      <c r="Z399" s="10">
        <f t="shared" si="53"/>
        <v>81633.509999999995</v>
      </c>
    </row>
    <row r="400" spans="1:26">
      <c r="A400" s="1" t="s">
        <v>531</v>
      </c>
      <c r="B400" s="1">
        <v>30</v>
      </c>
      <c r="C400" s="1" t="s">
        <v>542</v>
      </c>
      <c r="D400" s="1" t="str">
        <f>PROPER(Table3[[#This Row],[Gender]])</f>
        <v>Male</v>
      </c>
      <c r="E400" s="1" t="s">
        <v>550</v>
      </c>
      <c r="F400" s="1" t="str">
        <f>PROPER(Table3[[#This Row],[Country_Region]])</f>
        <v>Pakistan</v>
      </c>
      <c r="G400" s="1">
        <v>2024</v>
      </c>
      <c r="H400" s="1">
        <v>9</v>
      </c>
      <c r="I400" s="1">
        <f>IF(H400="", AVERAGEIF('CLEANED DATASET'!$G$2:$G$532,G400,'CLEANED DATASET'!$H523),H400)</f>
        <v>9</v>
      </c>
      <c r="J400" s="1">
        <v>7</v>
      </c>
      <c r="K400" s="1">
        <f t="shared" si="47"/>
        <v>7</v>
      </c>
      <c r="L400" s="1">
        <v>3.1</v>
      </c>
      <c r="M400" s="1">
        <f t="shared" si="48"/>
        <v>3.1</v>
      </c>
      <c r="N400" s="1">
        <v>5.8</v>
      </c>
      <c r="O400" s="1">
        <f t="shared" si="49"/>
        <v>5.8</v>
      </c>
      <c r="P400" s="1">
        <v>2.8</v>
      </c>
      <c r="Q400" s="1">
        <f t="shared" si="50"/>
        <v>2.8</v>
      </c>
      <c r="R400" s="1" t="s">
        <v>578</v>
      </c>
      <c r="S400" s="1" t="str">
        <f>PROPER(Table3[[#This Row],[Cancer_Type]])</f>
        <v>Liver</v>
      </c>
      <c r="T400" s="1" t="s">
        <v>593</v>
      </c>
      <c r="U400" s="4">
        <v>6497.11</v>
      </c>
      <c r="V400" s="1">
        <v>1.8</v>
      </c>
      <c r="W400" s="1">
        <f t="shared" ca="1" si="51"/>
        <v>4</v>
      </c>
      <c r="X400" s="1">
        <v>6.63</v>
      </c>
      <c r="Y400" s="1" t="str">
        <f t="shared" si="52"/>
        <v>Stage III</v>
      </c>
      <c r="Z400" s="10">
        <f t="shared" si="53"/>
        <v>6497.11</v>
      </c>
    </row>
    <row r="401" spans="1:26">
      <c r="A401" s="1" t="s">
        <v>456</v>
      </c>
      <c r="B401" s="1">
        <v>38</v>
      </c>
      <c r="C401" s="1" t="s">
        <v>542</v>
      </c>
      <c r="D401" s="1" t="str">
        <f>PROPER(Table3[[#This Row],[Gender]])</f>
        <v>Male</v>
      </c>
      <c r="E401" s="1" t="s">
        <v>551</v>
      </c>
      <c r="F401" s="1" t="str">
        <f>PROPER(Table3[[#This Row],[Country_Region]])</f>
        <v>Germany</v>
      </c>
      <c r="G401" s="1">
        <v>2022</v>
      </c>
      <c r="H401" s="1">
        <v>5.5</v>
      </c>
      <c r="I401" s="1">
        <f>IF(H401="", AVERAGEIF('CLEANED DATASET'!$G$2:$G$532,G401,'CLEANED DATASET'!$H448),H401)</f>
        <v>5.5</v>
      </c>
      <c r="J401" s="1">
        <v>9.4</v>
      </c>
      <c r="K401" s="1">
        <f t="shared" si="47"/>
        <v>9.4</v>
      </c>
      <c r="L401" s="1">
        <v>5.9</v>
      </c>
      <c r="M401" s="1">
        <f t="shared" si="48"/>
        <v>5.9</v>
      </c>
      <c r="N401" s="1">
        <v>4.3</v>
      </c>
      <c r="O401" s="1">
        <f t="shared" si="49"/>
        <v>4.3</v>
      </c>
      <c r="P401" s="1">
        <v>1.2</v>
      </c>
      <c r="Q401" s="1">
        <f t="shared" si="50"/>
        <v>1.2</v>
      </c>
      <c r="R401" s="1" t="s">
        <v>570</v>
      </c>
      <c r="S401" s="1" t="str">
        <f>PROPER(Table3[[#This Row],[Cancer_Type]])</f>
        <v>Skin</v>
      </c>
      <c r="T401" s="1" t="s">
        <v>591</v>
      </c>
      <c r="U401" s="4">
        <v>68562.25</v>
      </c>
      <c r="V401" s="1">
        <v>5</v>
      </c>
      <c r="W401" s="1">
        <f t="shared" ca="1" si="51"/>
        <v>6</v>
      </c>
      <c r="X401" s="1">
        <v>5</v>
      </c>
      <c r="Y401" s="1" t="str">
        <f t="shared" si="52"/>
        <v>Stage II</v>
      </c>
      <c r="Z401" s="10">
        <f t="shared" si="53"/>
        <v>68562.25</v>
      </c>
    </row>
    <row r="402" spans="1:26">
      <c r="A402" s="1" t="s">
        <v>47</v>
      </c>
      <c r="B402" s="1">
        <v>28</v>
      </c>
      <c r="C402" s="1" t="s">
        <v>541</v>
      </c>
      <c r="D402" s="1" t="str">
        <f>PROPER(Table3[[#This Row],[Gender]])</f>
        <v>Other</v>
      </c>
      <c r="E402" s="1" t="s">
        <v>556</v>
      </c>
      <c r="F402" s="1" t="str">
        <f>PROPER(Table3[[#This Row],[Country_Region]])</f>
        <v>India</v>
      </c>
      <c r="G402" s="1">
        <v>2022</v>
      </c>
      <c r="H402" s="1">
        <v>0.8</v>
      </c>
      <c r="I402" s="1">
        <f>IF(H402="", AVERAGEIF('CLEANED DATASET'!$G$2:$G$532,G402,'CLEANED DATASET'!$H39),H402)</f>
        <v>0.8</v>
      </c>
      <c r="J402" s="1">
        <v>7.6</v>
      </c>
      <c r="K402" s="1">
        <f t="shared" si="47"/>
        <v>7.6</v>
      </c>
      <c r="L402" s="1">
        <v>4.9000000000000004</v>
      </c>
      <c r="M402" s="1">
        <f t="shared" si="48"/>
        <v>4.9000000000000004</v>
      </c>
      <c r="N402" s="1">
        <v>1.8</v>
      </c>
      <c r="O402" s="1">
        <f t="shared" si="49"/>
        <v>1.8</v>
      </c>
      <c r="P402" s="1">
        <v>10</v>
      </c>
      <c r="Q402" s="1">
        <f t="shared" si="50"/>
        <v>10</v>
      </c>
      <c r="R402" s="1" t="s">
        <v>573</v>
      </c>
      <c r="S402" s="1" t="str">
        <f>PROPER(Table3[[#This Row],[Cancer_Type]])</f>
        <v>Breast</v>
      </c>
      <c r="T402" s="1" t="s">
        <v>594</v>
      </c>
      <c r="U402" s="4">
        <v>6949.16</v>
      </c>
      <c r="V402" s="1">
        <v>8.4</v>
      </c>
      <c r="W402" s="1">
        <f t="shared" ca="1" si="51"/>
        <v>5</v>
      </c>
      <c r="X402" s="1">
        <v>5.26</v>
      </c>
      <c r="Y402" s="1" t="str">
        <f t="shared" si="52"/>
        <v>Stage II</v>
      </c>
      <c r="Z402" s="10">
        <f t="shared" si="53"/>
        <v>6949.16</v>
      </c>
    </row>
    <row r="403" spans="1:26">
      <c r="A403" s="1" t="s">
        <v>262</v>
      </c>
      <c r="B403" s="1">
        <v>46</v>
      </c>
      <c r="C403" s="1" t="s">
        <v>543</v>
      </c>
      <c r="D403" s="1" t="str">
        <f>PROPER(Table3[[#This Row],[Gender]])</f>
        <v>Female</v>
      </c>
      <c r="E403" s="1" t="s">
        <v>552</v>
      </c>
      <c r="F403" s="1" t="str">
        <f>PROPER(Table3[[#This Row],[Country_Region]])</f>
        <v>China</v>
      </c>
      <c r="G403" s="1">
        <v>2023</v>
      </c>
      <c r="H403" s="1">
        <v>7.5</v>
      </c>
      <c r="I403" s="1">
        <f>IF(H403="", AVERAGEIF('CLEANED DATASET'!$G$2:$G$532,G403,'CLEANED DATASET'!$H254),H403)</f>
        <v>7.5</v>
      </c>
      <c r="J403" s="1">
        <v>8.1</v>
      </c>
      <c r="K403" s="1">
        <f t="shared" si="47"/>
        <v>8.1</v>
      </c>
      <c r="L403" s="1">
        <v>5.4</v>
      </c>
      <c r="M403" s="1">
        <f t="shared" si="48"/>
        <v>5.4</v>
      </c>
      <c r="N403" s="1">
        <v>3.1</v>
      </c>
      <c r="O403" s="1">
        <f t="shared" si="49"/>
        <v>3.1</v>
      </c>
      <c r="P403" s="1">
        <v>8.6999999999999993</v>
      </c>
      <c r="Q403" s="1">
        <f t="shared" si="50"/>
        <v>8.6999999999999993</v>
      </c>
      <c r="R403" s="1" t="s">
        <v>579</v>
      </c>
      <c r="S403" s="1" t="str">
        <f>PROPER(Table3[[#This Row],[Cancer_Type]])</f>
        <v>Prostate</v>
      </c>
      <c r="T403" s="1" t="s">
        <v>590</v>
      </c>
      <c r="U403" s="4">
        <v>82059.259999999995</v>
      </c>
      <c r="V403" s="1">
        <v>7.5</v>
      </c>
      <c r="W403" s="1">
        <f t="shared" ca="1" si="51"/>
        <v>6</v>
      </c>
      <c r="X403" s="1">
        <v>5.37</v>
      </c>
      <c r="Y403" s="1" t="str">
        <f t="shared" si="52"/>
        <v>Stage II</v>
      </c>
      <c r="Z403" s="10">
        <f t="shared" si="53"/>
        <v>82059.259999999995</v>
      </c>
    </row>
    <row r="404" spans="1:26">
      <c r="A404" s="1" t="s">
        <v>476</v>
      </c>
      <c r="B404" s="1">
        <v>48</v>
      </c>
      <c r="C404" s="1" t="s">
        <v>546</v>
      </c>
      <c r="D404" s="1" t="str">
        <f>PROPER(Table3[[#This Row],[Gender]])</f>
        <v>Unknown</v>
      </c>
      <c r="E404" s="1" t="s">
        <v>635</v>
      </c>
      <c r="F404" s="1" t="str">
        <f>PROPER(Table3[[#This Row],[Country_Region]])</f>
        <v>Germany</v>
      </c>
      <c r="G404" s="1">
        <v>2023</v>
      </c>
      <c r="H404" s="1">
        <v>6.8</v>
      </c>
      <c r="I404" s="1">
        <f>IF(H404="", AVERAGEIF('CLEANED DATASET'!$G$2:$G$532,G404,'CLEANED DATASET'!$H468),H404)</f>
        <v>6.8</v>
      </c>
      <c r="J404" s="1"/>
      <c r="K404" s="1">
        <f t="shared" si="47"/>
        <v>4</v>
      </c>
      <c r="L404" s="1">
        <v>0.1</v>
      </c>
      <c r="M404" s="1">
        <f t="shared" si="48"/>
        <v>0.1</v>
      </c>
      <c r="N404" s="1">
        <v>6.8</v>
      </c>
      <c r="O404" s="1">
        <f t="shared" si="49"/>
        <v>6.8</v>
      </c>
      <c r="P404" s="1"/>
      <c r="Q404" s="3">
        <f t="shared" si="50"/>
        <v>4.3342105263157888</v>
      </c>
      <c r="R404" s="1" t="s">
        <v>603</v>
      </c>
      <c r="S404" s="1" t="str">
        <f>PROPER(Table3[[#This Row],[Cancer_Type]])</f>
        <v>Unknown</v>
      </c>
      <c r="T404" s="1"/>
      <c r="U404" s="8">
        <v>53668.72</v>
      </c>
      <c r="V404" s="1">
        <v>6</v>
      </c>
      <c r="W404" s="1">
        <f t="shared" ca="1" si="51"/>
        <v>6</v>
      </c>
      <c r="X404" s="1">
        <v>5.13</v>
      </c>
      <c r="Y404" s="1" t="str">
        <f t="shared" si="52"/>
        <v>Stage II</v>
      </c>
      <c r="Z404" s="10">
        <f t="shared" si="53"/>
        <v>53668.72</v>
      </c>
    </row>
    <row r="405" spans="1:26">
      <c r="A405" s="1" t="s">
        <v>206</v>
      </c>
      <c r="B405" s="1">
        <v>77</v>
      </c>
      <c r="C405" s="1" t="s">
        <v>543</v>
      </c>
      <c r="D405" s="1" t="str">
        <f>PROPER(Table3[[#This Row],[Gender]])</f>
        <v>Female</v>
      </c>
      <c r="E405" s="1" t="s">
        <v>548</v>
      </c>
      <c r="F405" s="1" t="str">
        <f>PROPER(Table3[[#This Row],[Country_Region]])</f>
        <v>Uk</v>
      </c>
      <c r="G405" s="1">
        <v>2024</v>
      </c>
      <c r="H405" s="1">
        <v>6.5</v>
      </c>
      <c r="I405" s="1">
        <f>IF(H405="", AVERAGEIF('CLEANED DATASET'!$G$2:$G$532,G405,'CLEANED DATASET'!$H198),H405)</f>
        <v>6.5</v>
      </c>
      <c r="J405" s="1">
        <v>1.7</v>
      </c>
      <c r="K405" s="1">
        <f t="shared" si="47"/>
        <v>1.7</v>
      </c>
      <c r="L405" s="1">
        <v>5.8</v>
      </c>
      <c r="M405" s="1">
        <f t="shared" si="48"/>
        <v>5.8</v>
      </c>
      <c r="N405" s="1">
        <v>0.4</v>
      </c>
      <c r="O405" s="1">
        <f t="shared" si="49"/>
        <v>0.4</v>
      </c>
      <c r="P405" s="1">
        <v>6.3</v>
      </c>
      <c r="Q405" s="1">
        <f t="shared" si="50"/>
        <v>6.3</v>
      </c>
      <c r="R405" s="1" t="s">
        <v>570</v>
      </c>
      <c r="S405" s="1" t="str">
        <f>PROPER(Table3[[#This Row],[Cancer_Type]])</f>
        <v>Skin</v>
      </c>
      <c r="T405" s="1" t="s">
        <v>590</v>
      </c>
      <c r="U405" s="4">
        <v>69446.59</v>
      </c>
      <c r="V405" s="1">
        <v>1.8</v>
      </c>
      <c r="W405" s="1">
        <f t="shared" ca="1" si="51"/>
        <v>8</v>
      </c>
      <c r="X405" s="1">
        <v>3.75</v>
      </c>
      <c r="Y405" s="1" t="str">
        <f t="shared" si="52"/>
        <v>Stage I</v>
      </c>
      <c r="Z405" s="10">
        <f t="shared" si="53"/>
        <v>69446.59</v>
      </c>
    </row>
    <row r="406" spans="1:26">
      <c r="A406" s="1" t="s">
        <v>358</v>
      </c>
      <c r="B406" s="1">
        <v>74</v>
      </c>
      <c r="C406" s="1" t="s">
        <v>541</v>
      </c>
      <c r="D406" s="1" t="str">
        <f>PROPER(Table3[[#This Row],[Gender]])</f>
        <v>Other</v>
      </c>
      <c r="E406" s="1" t="s">
        <v>554</v>
      </c>
      <c r="F406" s="1" t="str">
        <f>PROPER(Table3[[#This Row],[Country_Region]])</f>
        <v>Brazil</v>
      </c>
      <c r="G406" s="1">
        <v>2024</v>
      </c>
      <c r="H406" s="1"/>
      <c r="I406" s="1">
        <f ca="1">IF(H406="", AVERAGEIF('CLEANED DATASET'!$G$2:$G$532,G406,'CLEANED DATASET'!$H350),H406)</f>
        <v>6.5596491228070173</v>
      </c>
      <c r="J406" s="1">
        <v>6.6</v>
      </c>
      <c r="K406" s="1">
        <f t="shared" si="47"/>
        <v>6.6</v>
      </c>
      <c r="L406" s="1"/>
      <c r="M406" s="3">
        <f t="shared" si="48"/>
        <v>4.4190476190476193</v>
      </c>
      <c r="N406" s="1">
        <v>7.5</v>
      </c>
      <c r="O406" s="1">
        <f t="shared" si="49"/>
        <v>7.5</v>
      </c>
      <c r="P406" s="1">
        <v>7.2</v>
      </c>
      <c r="Q406" s="1">
        <f t="shared" si="50"/>
        <v>7.2</v>
      </c>
      <c r="R406" s="1" t="s">
        <v>570</v>
      </c>
      <c r="S406" s="1" t="str">
        <f>PROPER(Table3[[#This Row],[Cancer_Type]])</f>
        <v>Skin</v>
      </c>
      <c r="T406" s="1" t="s">
        <v>592</v>
      </c>
      <c r="U406" s="4">
        <v>85317.77</v>
      </c>
      <c r="V406" s="1">
        <v>5.9</v>
      </c>
      <c r="W406" s="1">
        <f t="shared" ca="1" si="51"/>
        <v>6</v>
      </c>
      <c r="X406" s="1">
        <v>4.37</v>
      </c>
      <c r="Y406" s="1" t="str">
        <f t="shared" si="52"/>
        <v>Stage II</v>
      </c>
      <c r="Z406" s="10">
        <f t="shared" si="53"/>
        <v>85317.77</v>
      </c>
    </row>
    <row r="407" spans="1:26">
      <c r="A407" s="1" t="s">
        <v>374</v>
      </c>
      <c r="B407" s="1">
        <v>89</v>
      </c>
      <c r="C407" s="1" t="s">
        <v>541</v>
      </c>
      <c r="D407" s="1" t="str">
        <f>PROPER(Table3[[#This Row],[Gender]])</f>
        <v>Other</v>
      </c>
      <c r="E407" s="1" t="s">
        <v>560</v>
      </c>
      <c r="F407" s="1" t="str">
        <f>PROPER(Table3[[#This Row],[Country_Region]])</f>
        <v>Usa</v>
      </c>
      <c r="G407" s="1">
        <v>2024</v>
      </c>
      <c r="H407" s="1">
        <v>1.6</v>
      </c>
      <c r="I407" s="1">
        <f>IF(H407="", AVERAGEIF('CLEANED DATASET'!$G$2:$G$532,G407,'CLEANED DATASET'!$H366),H407)</f>
        <v>1.6</v>
      </c>
      <c r="J407" s="1">
        <v>0.4</v>
      </c>
      <c r="K407" s="1">
        <f t="shared" si="47"/>
        <v>0.4</v>
      </c>
      <c r="L407" s="1">
        <v>5.2</v>
      </c>
      <c r="M407" s="1">
        <f t="shared" si="48"/>
        <v>5.2</v>
      </c>
      <c r="N407" s="1">
        <v>2</v>
      </c>
      <c r="O407" s="1">
        <f t="shared" si="49"/>
        <v>2</v>
      </c>
      <c r="P407" s="1"/>
      <c r="Q407" s="3">
        <f t="shared" si="50"/>
        <v>2.1199999999999997</v>
      </c>
      <c r="R407" s="1" t="s">
        <v>578</v>
      </c>
      <c r="S407" s="1" t="str">
        <f>PROPER(Table3[[#This Row],[Cancer_Type]])</f>
        <v>Liver</v>
      </c>
      <c r="T407" s="1" t="s">
        <v>592</v>
      </c>
      <c r="U407" s="4">
        <v>38318.31</v>
      </c>
      <c r="V407" s="1">
        <v>8.3000000000000007</v>
      </c>
      <c r="W407" s="1">
        <f t="shared" ca="1" si="51"/>
        <v>7</v>
      </c>
      <c r="X407" s="1">
        <v>3.3</v>
      </c>
      <c r="Y407" s="1" t="str">
        <f t="shared" si="52"/>
        <v>Stage I</v>
      </c>
      <c r="Z407" s="10">
        <f t="shared" si="53"/>
        <v>38318.31</v>
      </c>
    </row>
    <row r="408" spans="1:26">
      <c r="A408" s="1" t="s">
        <v>433</v>
      </c>
      <c r="B408" s="1">
        <v>65</v>
      </c>
      <c r="C408" s="1" t="s">
        <v>541</v>
      </c>
      <c r="D408" s="1" t="str">
        <f>PROPER(Table3[[#This Row],[Gender]])</f>
        <v>Other</v>
      </c>
      <c r="E408" s="1" t="s">
        <v>554</v>
      </c>
      <c r="F408" s="1" t="str">
        <f>PROPER(Table3[[#This Row],[Country_Region]])</f>
        <v>Brazil</v>
      </c>
      <c r="G408" s="1">
        <v>2024</v>
      </c>
      <c r="H408" s="1">
        <v>8.3000000000000007</v>
      </c>
      <c r="I408" s="1">
        <f>IF(H408="", AVERAGEIF('CLEANED DATASET'!$G$2:$G$532,G408,'CLEANED DATASET'!$H425),H408)</f>
        <v>8.3000000000000007</v>
      </c>
      <c r="J408" s="1">
        <v>9.1</v>
      </c>
      <c r="K408" s="1">
        <f t="shared" si="47"/>
        <v>9.1</v>
      </c>
      <c r="L408" s="1">
        <v>2.2999999999999998</v>
      </c>
      <c r="M408" s="1">
        <f t="shared" si="48"/>
        <v>2.2999999999999998</v>
      </c>
      <c r="N408" s="1">
        <v>3.2</v>
      </c>
      <c r="O408" s="1">
        <f t="shared" si="49"/>
        <v>3.2</v>
      </c>
      <c r="P408" s="1">
        <v>7.4</v>
      </c>
      <c r="Q408" s="1">
        <f t="shared" si="50"/>
        <v>7.4</v>
      </c>
      <c r="R408" s="1" t="s">
        <v>576</v>
      </c>
      <c r="S408" s="1" t="str">
        <f>PROPER(Table3[[#This Row],[Cancer_Type]])</f>
        <v>Cervical</v>
      </c>
      <c r="T408" s="1" t="s">
        <v>592</v>
      </c>
      <c r="U408" s="4">
        <v>13933.65</v>
      </c>
      <c r="V408" s="1">
        <v>1.9</v>
      </c>
      <c r="W408" s="1">
        <f t="shared" ca="1" si="51"/>
        <v>3</v>
      </c>
      <c r="X408" s="1">
        <v>6.47</v>
      </c>
      <c r="Y408" s="1" t="str">
        <f t="shared" si="52"/>
        <v>Stage III</v>
      </c>
      <c r="Z408" s="10">
        <f t="shared" si="53"/>
        <v>13933.65</v>
      </c>
    </row>
    <row r="409" spans="1:26">
      <c r="A409" s="1" t="s">
        <v>108</v>
      </c>
      <c r="B409" s="1">
        <v>62</v>
      </c>
      <c r="C409" s="1" t="s">
        <v>543</v>
      </c>
      <c r="D409" s="1" t="str">
        <f>PROPER(Table3[[#This Row],[Gender]])</f>
        <v>Female</v>
      </c>
      <c r="E409" s="1" t="s">
        <v>554</v>
      </c>
      <c r="F409" s="1" t="str">
        <f>PROPER(Table3[[#This Row],[Country_Region]])</f>
        <v>Brazil</v>
      </c>
      <c r="G409" s="1">
        <v>2022</v>
      </c>
      <c r="H409" s="1">
        <v>7.6</v>
      </c>
      <c r="I409" s="1">
        <f>IF(H409="", AVERAGEIF('CLEANED DATASET'!$G$2:$G$532,G409,'CLEANED DATASET'!$H100),H409)</f>
        <v>7.6</v>
      </c>
      <c r="J409" s="1">
        <v>5.5</v>
      </c>
      <c r="K409" s="1">
        <f t="shared" si="47"/>
        <v>5.5</v>
      </c>
      <c r="L409" s="1">
        <v>1.7</v>
      </c>
      <c r="M409" s="1">
        <f t="shared" si="48"/>
        <v>1.7</v>
      </c>
      <c r="N409" s="1">
        <v>3.7</v>
      </c>
      <c r="O409" s="1">
        <f t="shared" si="49"/>
        <v>3.7</v>
      </c>
      <c r="P409" s="1">
        <v>8.1</v>
      </c>
      <c r="Q409" s="1">
        <f t="shared" si="50"/>
        <v>8.1</v>
      </c>
      <c r="R409" s="1" t="s">
        <v>572</v>
      </c>
      <c r="S409" s="1" t="str">
        <f>PROPER(Table3[[#This Row],[Cancer_Type]])</f>
        <v>Leukemia</v>
      </c>
      <c r="T409" s="1" t="s">
        <v>593</v>
      </c>
      <c r="U409" s="4">
        <v>85829.23</v>
      </c>
      <c r="V409" s="1">
        <v>9.4</v>
      </c>
      <c r="W409" s="1">
        <f t="shared" ca="1" si="51"/>
        <v>5</v>
      </c>
      <c r="X409" s="1">
        <v>4.43</v>
      </c>
      <c r="Y409" s="1" t="str">
        <f t="shared" si="52"/>
        <v>Stage II</v>
      </c>
      <c r="Z409" s="10">
        <f t="shared" si="53"/>
        <v>85829.23</v>
      </c>
    </row>
    <row r="410" spans="1:26">
      <c r="A410" s="1" t="s">
        <v>189</v>
      </c>
      <c r="B410" s="1">
        <v>84</v>
      </c>
      <c r="C410" s="1" t="s">
        <v>543</v>
      </c>
      <c r="D410" s="1" t="str">
        <f>PROPER(Table3[[#This Row],[Gender]])</f>
        <v>Female</v>
      </c>
      <c r="E410" s="1" t="s">
        <v>555</v>
      </c>
      <c r="F410" s="1" t="str">
        <f>PROPER(Table3[[#This Row],[Country_Region]])</f>
        <v>Russia</v>
      </c>
      <c r="G410" s="1">
        <v>2024</v>
      </c>
      <c r="H410" s="1">
        <v>4.4000000000000004</v>
      </c>
      <c r="I410" s="1">
        <f>IF(H410="", AVERAGEIF('CLEANED DATASET'!$G$2:$G$532,G410,'CLEANED DATASET'!$H181),H410)</f>
        <v>4.4000000000000004</v>
      </c>
      <c r="J410" s="1">
        <v>5.0999999999999996</v>
      </c>
      <c r="K410" s="1">
        <f t="shared" si="47"/>
        <v>5.0999999999999996</v>
      </c>
      <c r="L410" s="1">
        <v>6.5</v>
      </c>
      <c r="M410" s="1">
        <f t="shared" si="48"/>
        <v>6.5</v>
      </c>
      <c r="N410" s="1">
        <v>5</v>
      </c>
      <c r="O410" s="1">
        <f t="shared" si="49"/>
        <v>5</v>
      </c>
      <c r="P410" s="1">
        <v>6.3</v>
      </c>
      <c r="Q410" s="1">
        <f t="shared" si="50"/>
        <v>6.3</v>
      </c>
      <c r="R410" s="1" t="s">
        <v>578</v>
      </c>
      <c r="S410" s="1" t="str">
        <f>PROPER(Table3[[#This Row],[Cancer_Type]])</f>
        <v>Liver</v>
      </c>
      <c r="T410" s="1" t="s">
        <v>593</v>
      </c>
      <c r="U410" s="4">
        <v>8969.86</v>
      </c>
      <c r="V410" s="1">
        <v>6.4</v>
      </c>
      <c r="W410" s="1">
        <f t="shared" ca="1" si="51"/>
        <v>4</v>
      </c>
      <c r="X410" s="1">
        <v>6.07</v>
      </c>
      <c r="Y410" s="1" t="str">
        <f t="shared" si="52"/>
        <v>Stage III</v>
      </c>
      <c r="Z410" s="10">
        <f t="shared" si="53"/>
        <v>8969.86</v>
      </c>
    </row>
    <row r="411" spans="1:26">
      <c r="A411" s="1" t="s">
        <v>522</v>
      </c>
      <c r="B411" s="1">
        <v>39</v>
      </c>
      <c r="C411" s="1" t="s">
        <v>542</v>
      </c>
      <c r="D411" s="1" t="str">
        <f>PROPER(Table3[[#This Row],[Gender]])</f>
        <v>Male</v>
      </c>
      <c r="E411" s="1" t="s">
        <v>556</v>
      </c>
      <c r="F411" s="1" t="str">
        <f>PROPER(Table3[[#This Row],[Country_Region]])</f>
        <v>India</v>
      </c>
      <c r="G411" s="1">
        <v>2022</v>
      </c>
      <c r="H411" s="1">
        <v>100</v>
      </c>
      <c r="I411" s="1">
        <f>IF(H411="", AVERAGEIF('CLEANED DATASET'!$G$2:$G$532,G411,'CLEANED DATASET'!$H514),H411)</f>
        <v>100</v>
      </c>
      <c r="J411" s="1">
        <v>5.4</v>
      </c>
      <c r="K411" s="1">
        <f t="shared" si="47"/>
        <v>5.4</v>
      </c>
      <c r="L411" s="1">
        <v>5</v>
      </c>
      <c r="M411" s="1">
        <f t="shared" si="48"/>
        <v>5</v>
      </c>
      <c r="N411" s="1">
        <v>5.5</v>
      </c>
      <c r="O411" s="1">
        <f t="shared" si="49"/>
        <v>5.5</v>
      </c>
      <c r="P411" s="1">
        <v>9.1999999999999993</v>
      </c>
      <c r="Q411" s="1">
        <f t="shared" si="50"/>
        <v>9.1999999999999993</v>
      </c>
      <c r="R411" s="1" t="s">
        <v>578</v>
      </c>
      <c r="S411" s="1" t="str">
        <f>PROPER(Table3[[#This Row],[Cancer_Type]])</f>
        <v>Liver</v>
      </c>
      <c r="T411" s="1" t="s">
        <v>593</v>
      </c>
      <c r="U411" s="4">
        <v>50345.29</v>
      </c>
      <c r="V411" s="1">
        <v>5</v>
      </c>
      <c r="W411" s="1">
        <f t="shared" ca="1" si="51"/>
        <v>3</v>
      </c>
      <c r="X411" s="1">
        <v>6.45</v>
      </c>
      <c r="Y411" s="1" t="str">
        <f t="shared" si="52"/>
        <v>Stage III</v>
      </c>
      <c r="Z411" s="10">
        <f t="shared" si="53"/>
        <v>50345.29</v>
      </c>
    </row>
    <row r="412" spans="1:26">
      <c r="A412" s="1" t="s">
        <v>537</v>
      </c>
      <c r="B412" s="1">
        <v>83</v>
      </c>
      <c r="C412" s="1" t="s">
        <v>542</v>
      </c>
      <c r="D412" s="1" t="str">
        <f>PROPER(Table3[[#This Row],[Gender]])</f>
        <v>Male</v>
      </c>
      <c r="E412" s="1" t="s">
        <v>645</v>
      </c>
      <c r="F412" s="1" t="str">
        <f>PROPER(Table3[[#This Row],[Country_Region]])</f>
        <v>Usa</v>
      </c>
      <c r="G412" s="1">
        <v>2022</v>
      </c>
      <c r="H412" s="1">
        <v>6.9</v>
      </c>
      <c r="I412" s="1">
        <f>IF(H412="", AVERAGEIF('CLEANED DATASET'!$G$2:$G$532,G412,'CLEANED DATASET'!$H529),H412)</f>
        <v>6.9</v>
      </c>
      <c r="J412" s="1">
        <v>3</v>
      </c>
      <c r="K412" s="1">
        <f t="shared" si="47"/>
        <v>3</v>
      </c>
      <c r="L412" s="1">
        <v>5.9</v>
      </c>
      <c r="M412" s="1">
        <f t="shared" si="48"/>
        <v>5.9</v>
      </c>
      <c r="N412" s="1">
        <v>9.5</v>
      </c>
      <c r="O412" s="1">
        <f t="shared" si="49"/>
        <v>9.5</v>
      </c>
      <c r="P412" s="1">
        <v>0</v>
      </c>
      <c r="Q412" s="1">
        <f t="shared" si="50"/>
        <v>0</v>
      </c>
      <c r="R412" s="1" t="s">
        <v>572</v>
      </c>
      <c r="S412" s="1" t="str">
        <f>PROPER(Table3[[#This Row],[Cancer_Type]])</f>
        <v>Leukemia</v>
      </c>
      <c r="T412" s="1" t="s">
        <v>594</v>
      </c>
      <c r="U412" s="8">
        <v>7482.54</v>
      </c>
      <c r="V412" s="1">
        <v>4.4000000000000004</v>
      </c>
      <c r="W412" s="1">
        <f t="shared" ca="1" si="51"/>
        <v>3</v>
      </c>
      <c r="X412" s="1">
        <v>6.47</v>
      </c>
      <c r="Y412" s="1" t="str">
        <f t="shared" si="52"/>
        <v>Stage III</v>
      </c>
      <c r="Z412" s="10">
        <f t="shared" si="53"/>
        <v>7482.54</v>
      </c>
    </row>
    <row r="413" spans="1:26">
      <c r="A413" s="1" t="s">
        <v>260</v>
      </c>
      <c r="B413" s="1">
        <v>75</v>
      </c>
      <c r="C413" s="1" t="s">
        <v>543</v>
      </c>
      <c r="D413" s="1" t="str">
        <f>PROPER(Table3[[#This Row],[Gender]])</f>
        <v>Female</v>
      </c>
      <c r="E413" s="1" t="s">
        <v>622</v>
      </c>
      <c r="F413" s="1" t="str">
        <f>PROPER(Table3[[#This Row],[Country_Region]])</f>
        <v>Canada</v>
      </c>
      <c r="G413" s="1">
        <v>2022</v>
      </c>
      <c r="H413" s="1">
        <v>5.2</v>
      </c>
      <c r="I413" s="1">
        <f>IF(H413="", AVERAGEIF('CLEANED DATASET'!$G$2:$G$532,G413,'CLEANED DATASET'!$H252),H413)</f>
        <v>5.2</v>
      </c>
      <c r="J413" s="1">
        <v>9.1999999999999993</v>
      </c>
      <c r="K413" s="1">
        <f t="shared" si="47"/>
        <v>9.1999999999999993</v>
      </c>
      <c r="L413" s="1">
        <v>9.5</v>
      </c>
      <c r="M413" s="1">
        <f t="shared" si="48"/>
        <v>9.5</v>
      </c>
      <c r="N413" s="1">
        <v>9.5</v>
      </c>
      <c r="O413" s="1">
        <f t="shared" si="49"/>
        <v>9.5</v>
      </c>
      <c r="P413" s="1">
        <v>5.6</v>
      </c>
      <c r="Q413" s="1">
        <f t="shared" si="50"/>
        <v>5.6</v>
      </c>
      <c r="R413" s="1" t="s">
        <v>571</v>
      </c>
      <c r="S413" s="1" t="str">
        <f>PROPER(Table3[[#This Row],[Cancer_Type]])</f>
        <v>Lung</v>
      </c>
      <c r="T413" s="1" t="s">
        <v>593</v>
      </c>
      <c r="U413" s="4">
        <v>85189.4</v>
      </c>
      <c r="V413" s="1">
        <v>8.5</v>
      </c>
      <c r="W413" s="1">
        <f t="shared" ca="1" si="51"/>
        <v>3</v>
      </c>
      <c r="X413" s="1">
        <v>6.6</v>
      </c>
      <c r="Y413" s="1" t="str">
        <f t="shared" si="52"/>
        <v>Stage III</v>
      </c>
      <c r="Z413" s="10">
        <f t="shared" si="53"/>
        <v>85189.4</v>
      </c>
    </row>
    <row r="414" spans="1:26">
      <c r="A414" s="1" t="s">
        <v>290</v>
      </c>
      <c r="B414" s="1">
        <v>33</v>
      </c>
      <c r="C414" s="1" t="s">
        <v>541</v>
      </c>
      <c r="D414" s="1" t="str">
        <f>PROPER(Table3[[#This Row],[Gender]])</f>
        <v>Other</v>
      </c>
      <c r="E414" s="1" t="s">
        <v>629</v>
      </c>
      <c r="F414" s="1" t="str">
        <f>PROPER(Table3[[#This Row],[Country_Region]])</f>
        <v>Russia</v>
      </c>
      <c r="G414" s="1">
        <v>2023</v>
      </c>
      <c r="H414" s="1">
        <v>9.6999999999999993</v>
      </c>
      <c r="I414" s="1">
        <f>IF(H414="", AVERAGEIF('CLEANED DATASET'!$G$2:$G$532,G414,'CLEANED DATASET'!$H282),H414)</f>
        <v>9.6999999999999993</v>
      </c>
      <c r="J414" s="1">
        <v>7.7</v>
      </c>
      <c r="K414" s="1">
        <f t="shared" si="47"/>
        <v>7.7</v>
      </c>
      <c r="L414" s="1">
        <v>9.8000000000000007</v>
      </c>
      <c r="M414" s="1">
        <f t="shared" si="48"/>
        <v>9.8000000000000007</v>
      </c>
      <c r="N414" s="1">
        <v>4</v>
      </c>
      <c r="O414" s="1">
        <f t="shared" si="49"/>
        <v>4</v>
      </c>
      <c r="P414" s="1">
        <v>0.7</v>
      </c>
      <c r="Q414" s="1">
        <f t="shared" si="50"/>
        <v>0.7</v>
      </c>
      <c r="R414" s="1" t="s">
        <v>570</v>
      </c>
      <c r="S414" s="1" t="str">
        <f>PROPER(Table3[[#This Row],[Cancer_Type]])</f>
        <v>Skin</v>
      </c>
      <c r="T414" s="1" t="s">
        <v>591</v>
      </c>
      <c r="U414" s="4">
        <v>41721.81</v>
      </c>
      <c r="V414" s="1">
        <v>1</v>
      </c>
      <c r="W414" s="1">
        <f t="shared" ca="1" si="51"/>
        <v>3</v>
      </c>
      <c r="X414" s="1">
        <v>6.6</v>
      </c>
      <c r="Y414" s="1" t="str">
        <f t="shared" si="52"/>
        <v>Stage III</v>
      </c>
      <c r="Z414" s="10">
        <f t="shared" si="53"/>
        <v>41721.81</v>
      </c>
    </row>
    <row r="415" spans="1:26">
      <c r="A415" s="1" t="s">
        <v>525</v>
      </c>
      <c r="B415" s="1">
        <v>61</v>
      </c>
      <c r="C415" s="1" t="s">
        <v>541</v>
      </c>
      <c r="D415" s="1" t="str">
        <f>PROPER(Table3[[#This Row],[Gender]])</f>
        <v>Other</v>
      </c>
      <c r="E415" s="1" t="s">
        <v>555</v>
      </c>
      <c r="F415" s="1" t="str">
        <f>PROPER(Table3[[#This Row],[Country_Region]])</f>
        <v>Russia</v>
      </c>
      <c r="G415" s="1">
        <v>2024</v>
      </c>
      <c r="H415" s="1">
        <v>0</v>
      </c>
      <c r="I415" s="1">
        <f>IF(H415="", AVERAGEIF('CLEANED DATASET'!$G$2:$G$532,G415,'CLEANED DATASET'!$H517),H415)</f>
        <v>0</v>
      </c>
      <c r="J415" s="1">
        <v>2.1</v>
      </c>
      <c r="K415" s="1">
        <f t="shared" si="47"/>
        <v>2.1</v>
      </c>
      <c r="L415" s="1">
        <v>3.8</v>
      </c>
      <c r="M415" s="1">
        <f t="shared" si="48"/>
        <v>3.8</v>
      </c>
      <c r="N415" s="1">
        <v>1.4</v>
      </c>
      <c r="O415" s="1">
        <f t="shared" si="49"/>
        <v>1.4</v>
      </c>
      <c r="P415" s="1">
        <v>3.3</v>
      </c>
      <c r="Q415" s="1">
        <f t="shared" si="50"/>
        <v>3.3</v>
      </c>
      <c r="R415" s="1" t="s">
        <v>589</v>
      </c>
      <c r="S415" s="1" t="str">
        <f>PROPER(Table3[[#This Row],[Cancer_Type]])</f>
        <v>Skin</v>
      </c>
      <c r="T415" s="1" t="s">
        <v>593</v>
      </c>
      <c r="U415" s="4">
        <v>24735.74</v>
      </c>
      <c r="V415" s="1">
        <v>3.1</v>
      </c>
      <c r="W415" s="1">
        <f t="shared" ca="1" si="51"/>
        <v>8</v>
      </c>
      <c r="X415" s="1">
        <v>3</v>
      </c>
      <c r="Y415" s="1" t="str">
        <f t="shared" si="52"/>
        <v>Stage I</v>
      </c>
      <c r="Z415" s="10">
        <f t="shared" si="53"/>
        <v>24735.74</v>
      </c>
    </row>
    <row r="416" spans="1:26">
      <c r="A416" s="1" t="s">
        <v>385</v>
      </c>
      <c r="B416" s="1">
        <v>72</v>
      </c>
      <c r="C416" s="1" t="s">
        <v>541</v>
      </c>
      <c r="D416" s="1" t="str">
        <f>PROPER(Table3[[#This Row],[Gender]])</f>
        <v>Other</v>
      </c>
      <c r="E416" s="1" t="s">
        <v>548</v>
      </c>
      <c r="F416" s="1" t="str">
        <f>PROPER(Table3[[#This Row],[Country_Region]])</f>
        <v>Uk</v>
      </c>
      <c r="G416" s="1">
        <v>2022</v>
      </c>
      <c r="H416" s="1">
        <v>8.6</v>
      </c>
      <c r="I416" s="1">
        <f>IF(H416="", AVERAGEIF('CLEANED DATASET'!$G$2:$G$532,G416,'CLEANED DATASET'!$H377),H416)</f>
        <v>8.6</v>
      </c>
      <c r="J416" s="1">
        <v>4.9000000000000004</v>
      </c>
      <c r="K416" s="1">
        <f t="shared" si="47"/>
        <v>4.9000000000000004</v>
      </c>
      <c r="L416" s="1">
        <v>3.9</v>
      </c>
      <c r="M416" s="1">
        <f t="shared" si="48"/>
        <v>3.9</v>
      </c>
      <c r="N416" s="1">
        <v>1.7</v>
      </c>
      <c r="O416" s="1">
        <f t="shared" si="49"/>
        <v>1.7</v>
      </c>
      <c r="P416" s="1">
        <v>9.5</v>
      </c>
      <c r="Q416" s="1">
        <f t="shared" si="50"/>
        <v>9.5</v>
      </c>
      <c r="R416" s="1" t="s">
        <v>571</v>
      </c>
      <c r="S416" s="1" t="str">
        <f>PROPER(Table3[[#This Row],[Cancer_Type]])</f>
        <v>Lung</v>
      </c>
      <c r="T416" s="1" t="s">
        <v>590</v>
      </c>
      <c r="U416" s="4">
        <v>89919.82</v>
      </c>
      <c r="V416" s="1">
        <v>9.1999999999999993</v>
      </c>
      <c r="W416" s="1">
        <f t="shared" ca="1" si="51"/>
        <v>5</v>
      </c>
      <c r="X416" s="1">
        <v>4.53</v>
      </c>
      <c r="Y416" s="1" t="str">
        <f t="shared" si="52"/>
        <v>Stage II</v>
      </c>
      <c r="Z416" s="10">
        <f t="shared" si="53"/>
        <v>89919.82</v>
      </c>
    </row>
    <row r="417" spans="1:26">
      <c r="A417" s="1" t="s">
        <v>218</v>
      </c>
      <c r="B417" s="1">
        <v>53</v>
      </c>
      <c r="C417" s="1" t="s">
        <v>541</v>
      </c>
      <c r="D417" s="1" t="str">
        <f>PROPER(Table3[[#This Row],[Gender]])</f>
        <v>Other</v>
      </c>
      <c r="E417" s="1" t="s">
        <v>549</v>
      </c>
      <c r="F417" s="1" t="str">
        <f>PROPER(Table3[[#This Row],[Country_Region]])</f>
        <v>Australia</v>
      </c>
      <c r="G417" s="1">
        <v>2024</v>
      </c>
      <c r="H417" s="1">
        <v>6.7</v>
      </c>
      <c r="I417" s="1">
        <f>IF(H417="", AVERAGEIF('CLEANED DATASET'!$G$2:$G$532,G417,'CLEANED DATASET'!$H210),H417)</f>
        <v>6.7</v>
      </c>
      <c r="J417" s="1">
        <v>5.7</v>
      </c>
      <c r="K417" s="1">
        <f t="shared" si="47"/>
        <v>5.7</v>
      </c>
      <c r="L417" s="1">
        <v>8.1999999999999993</v>
      </c>
      <c r="M417" s="1">
        <f t="shared" si="48"/>
        <v>8.1999999999999993</v>
      </c>
      <c r="N417" s="1">
        <v>5.0999999999999996</v>
      </c>
      <c r="O417" s="1">
        <f t="shared" si="49"/>
        <v>5.0999999999999996</v>
      </c>
      <c r="P417" s="1">
        <v>2.5</v>
      </c>
      <c r="Q417" s="1">
        <f t="shared" si="50"/>
        <v>2.5</v>
      </c>
      <c r="R417" s="1" t="s">
        <v>571</v>
      </c>
      <c r="S417" s="1" t="str">
        <f>PROPER(Table3[[#This Row],[Cancer_Type]])</f>
        <v>Lung</v>
      </c>
      <c r="T417" s="1" t="s">
        <v>594</v>
      </c>
      <c r="U417" s="4">
        <v>59907.97</v>
      </c>
      <c r="V417" s="1">
        <v>2.2999999999999998</v>
      </c>
      <c r="W417" s="1">
        <f t="shared" ca="1" si="51"/>
        <v>5</v>
      </c>
      <c r="X417" s="1">
        <v>5.5</v>
      </c>
      <c r="Y417" s="1" t="str">
        <f t="shared" si="52"/>
        <v>Stage II</v>
      </c>
      <c r="Z417" s="10">
        <f t="shared" si="53"/>
        <v>59907.97</v>
      </c>
    </row>
    <row r="418" spans="1:26">
      <c r="A418" s="1" t="s">
        <v>243</v>
      </c>
      <c r="B418" s="1">
        <v>73</v>
      </c>
      <c r="C418" s="1" t="s">
        <v>543</v>
      </c>
      <c r="D418" s="1" t="str">
        <f>PROPER(Table3[[#This Row],[Gender]])</f>
        <v>Female</v>
      </c>
      <c r="E418" s="1" t="s">
        <v>548</v>
      </c>
      <c r="F418" s="1" t="str">
        <f>PROPER(Table3[[#This Row],[Country_Region]])</f>
        <v>Uk</v>
      </c>
      <c r="G418" s="1">
        <v>2023</v>
      </c>
      <c r="H418" s="1">
        <v>2.9</v>
      </c>
      <c r="I418" s="1">
        <f>IF(H418="", AVERAGEIF('CLEANED DATASET'!$G$2:$G$532,G418,'CLEANED DATASET'!$H235),H418)</f>
        <v>2.9</v>
      </c>
      <c r="J418" s="1">
        <v>0.8</v>
      </c>
      <c r="K418" s="1">
        <f t="shared" si="47"/>
        <v>0.8</v>
      </c>
      <c r="L418" s="1">
        <v>1.6</v>
      </c>
      <c r="M418" s="1">
        <f t="shared" si="48"/>
        <v>1.6</v>
      </c>
      <c r="N418" s="1">
        <v>8.3000000000000007</v>
      </c>
      <c r="O418" s="1">
        <f t="shared" si="49"/>
        <v>8.3000000000000007</v>
      </c>
      <c r="P418" s="1">
        <v>3.9</v>
      </c>
      <c r="Q418" s="1">
        <f t="shared" ref="Q418:Q449" si="54">IF(P418="",AVERAGEIF(G418:G948,G418,P418:P948),P418)</f>
        <v>3.9</v>
      </c>
      <c r="R418" s="1" t="s">
        <v>579</v>
      </c>
      <c r="S418" s="1" t="str">
        <f>PROPER(Table3[[#This Row],[Cancer_Type]])</f>
        <v>Prostate</v>
      </c>
      <c r="T418" s="1" t="s">
        <v>591</v>
      </c>
      <c r="U418" s="4">
        <v>33018.879999999997</v>
      </c>
      <c r="V418" s="1">
        <v>1.9</v>
      </c>
      <c r="W418" s="1">
        <f t="shared" ca="1" si="51"/>
        <v>6</v>
      </c>
      <c r="X418" s="1">
        <v>4.33</v>
      </c>
      <c r="Y418" s="1" t="str">
        <f t="shared" si="52"/>
        <v>Stage II</v>
      </c>
      <c r="Z418" s="10">
        <f t="shared" si="53"/>
        <v>33018.879999999997</v>
      </c>
    </row>
    <row r="419" spans="1:26">
      <c r="A419" s="1" t="s">
        <v>540</v>
      </c>
      <c r="B419" s="1">
        <v>50</v>
      </c>
      <c r="C419" s="1" t="s">
        <v>542</v>
      </c>
      <c r="D419" s="1" t="str">
        <f>PROPER(Table3[[#This Row],[Gender]])</f>
        <v>Male</v>
      </c>
      <c r="E419" s="1" t="s">
        <v>549</v>
      </c>
      <c r="F419" s="1" t="str">
        <f>PROPER(Table3[[#This Row],[Country_Region]])</f>
        <v>Australia</v>
      </c>
      <c r="G419" s="1">
        <v>2022</v>
      </c>
      <c r="H419" s="1">
        <v>6.1</v>
      </c>
      <c r="I419" s="1">
        <f>IF(H419="", AVERAGEIF('CLEANED DATASET'!$G$2:$G$532,G419,'CLEANED DATASET'!$H532),H419)</f>
        <v>6.1</v>
      </c>
      <c r="J419" s="1">
        <v>0.9</v>
      </c>
      <c r="K419" s="1">
        <f t="shared" si="47"/>
        <v>0.9</v>
      </c>
      <c r="L419" s="1">
        <v>0.1</v>
      </c>
      <c r="M419" s="1">
        <f t="shared" si="48"/>
        <v>0.1</v>
      </c>
      <c r="N419" s="1">
        <v>6.7</v>
      </c>
      <c r="O419" s="1">
        <f t="shared" si="49"/>
        <v>6.7</v>
      </c>
      <c r="P419" s="1">
        <v>1.8</v>
      </c>
      <c r="Q419" s="1">
        <f t="shared" si="54"/>
        <v>1.8</v>
      </c>
      <c r="R419" s="1" t="s">
        <v>572</v>
      </c>
      <c r="S419" s="1" t="str">
        <f>PROPER(Table3[[#This Row],[Cancer_Type]])</f>
        <v>Leukemia</v>
      </c>
      <c r="T419" s="1" t="s">
        <v>590</v>
      </c>
      <c r="U419" s="4">
        <v>24584.04</v>
      </c>
      <c r="V419" s="1">
        <v>2.6</v>
      </c>
      <c r="W419" s="1">
        <f t="shared" ca="1" si="51"/>
        <v>5</v>
      </c>
      <c r="X419" s="1">
        <v>4.4000000000000004</v>
      </c>
      <c r="Y419" s="1" t="str">
        <f t="shared" si="52"/>
        <v>Stage II</v>
      </c>
      <c r="Z419" s="10">
        <f t="shared" si="53"/>
        <v>24584.04</v>
      </c>
    </row>
    <row r="420" spans="1:26">
      <c r="A420" s="1" t="s">
        <v>198</v>
      </c>
      <c r="B420" s="1">
        <v>23</v>
      </c>
      <c r="C420" s="1" t="s">
        <v>543</v>
      </c>
      <c r="D420" s="1" t="str">
        <f>PROPER(Table3[[#This Row],[Gender]])</f>
        <v>Female</v>
      </c>
      <c r="E420" s="1" t="s">
        <v>551</v>
      </c>
      <c r="F420" s="1" t="str">
        <f>PROPER(Table3[[#This Row],[Country_Region]])</f>
        <v>Germany</v>
      </c>
      <c r="G420" s="1">
        <v>2022</v>
      </c>
      <c r="H420" s="1">
        <v>4.8</v>
      </c>
      <c r="I420" s="1">
        <f>IF(H420="", AVERAGEIF('CLEANED DATASET'!$G$2:$G$532,G420,'CLEANED DATASET'!$H190),H420)</f>
        <v>4.8</v>
      </c>
      <c r="J420" s="1">
        <v>5.3</v>
      </c>
      <c r="K420" s="1">
        <f t="shared" si="47"/>
        <v>5.3</v>
      </c>
      <c r="L420" s="1">
        <v>9.8000000000000007</v>
      </c>
      <c r="M420" s="1">
        <f t="shared" si="48"/>
        <v>9.8000000000000007</v>
      </c>
      <c r="N420" s="1"/>
      <c r="O420" s="3">
        <f t="shared" si="49"/>
        <v>4.6515151515151514</v>
      </c>
      <c r="P420" s="1">
        <v>7.8</v>
      </c>
      <c r="Q420" s="1">
        <f t="shared" si="54"/>
        <v>7.8</v>
      </c>
      <c r="R420" s="1" t="s">
        <v>579</v>
      </c>
      <c r="S420" s="1" t="str">
        <f>PROPER(Table3[[#This Row],[Cancer_Type]])</f>
        <v>Prostate</v>
      </c>
      <c r="T420" s="1"/>
      <c r="U420" s="4">
        <v>75326.38</v>
      </c>
      <c r="V420" s="1">
        <v>9.9</v>
      </c>
      <c r="W420" s="1">
        <f t="shared" ca="1" si="51"/>
        <v>6</v>
      </c>
      <c r="X420" s="1">
        <v>4.8600000000000003</v>
      </c>
      <c r="Y420" s="1" t="str">
        <f t="shared" si="52"/>
        <v>Stage II</v>
      </c>
      <c r="Z420" s="10">
        <f t="shared" si="53"/>
        <v>75326.38</v>
      </c>
    </row>
    <row r="421" spans="1:26">
      <c r="A421" s="1" t="s">
        <v>363</v>
      </c>
      <c r="B421" s="1">
        <v>76</v>
      </c>
      <c r="C421" s="1" t="s">
        <v>541</v>
      </c>
      <c r="D421" s="1" t="str">
        <f>PROPER(Table3[[#This Row],[Gender]])</f>
        <v>Other</v>
      </c>
      <c r="E421" s="1" t="s">
        <v>556</v>
      </c>
      <c r="F421" s="1" t="str">
        <f>PROPER(Table3[[#This Row],[Country_Region]])</f>
        <v>India</v>
      </c>
      <c r="G421" s="1">
        <v>2023</v>
      </c>
      <c r="H421" s="1">
        <v>6.8</v>
      </c>
      <c r="I421" s="1">
        <f>IF(H421="", AVERAGEIF('CLEANED DATASET'!$G$2:$G$532,G421,'CLEANED DATASET'!$H355),H421)</f>
        <v>6.8</v>
      </c>
      <c r="J421" s="1">
        <v>5.8</v>
      </c>
      <c r="K421" s="1">
        <f t="shared" si="47"/>
        <v>5.8</v>
      </c>
      <c r="L421" s="1">
        <v>2.6</v>
      </c>
      <c r="M421" s="1">
        <f t="shared" si="48"/>
        <v>2.6</v>
      </c>
      <c r="N421" s="1">
        <v>9.9</v>
      </c>
      <c r="O421" s="1">
        <f t="shared" si="49"/>
        <v>9.9</v>
      </c>
      <c r="P421" s="1">
        <v>6.1</v>
      </c>
      <c r="Q421" s="1">
        <f t="shared" si="54"/>
        <v>6.1</v>
      </c>
      <c r="R421" s="1" t="s">
        <v>574</v>
      </c>
      <c r="S421" s="1" t="str">
        <f>PROPER(Table3[[#This Row],[Cancer_Type]])</f>
        <v>Colon</v>
      </c>
      <c r="T421" s="1" t="s">
        <v>592</v>
      </c>
      <c r="U421" s="4">
        <v>46955.11</v>
      </c>
      <c r="V421" s="1">
        <v>6.4</v>
      </c>
      <c r="W421" s="1">
        <f t="shared" ca="1" si="51"/>
        <v>3</v>
      </c>
      <c r="X421" s="1">
        <v>6.27</v>
      </c>
      <c r="Y421" s="1" t="str">
        <f t="shared" si="52"/>
        <v>Stage III</v>
      </c>
      <c r="Z421" s="10">
        <f t="shared" si="53"/>
        <v>46955.11</v>
      </c>
    </row>
    <row r="422" spans="1:26">
      <c r="A422" s="1" t="s">
        <v>181</v>
      </c>
      <c r="B422" s="1">
        <v>36</v>
      </c>
      <c r="C422" s="1" t="s">
        <v>546</v>
      </c>
      <c r="D422" s="1" t="str">
        <f>PROPER(Table3[[#This Row],[Gender]])</f>
        <v>Unknown</v>
      </c>
      <c r="E422" s="1" t="s">
        <v>549</v>
      </c>
      <c r="F422" s="1" t="str">
        <f>PROPER(Table3[[#This Row],[Country_Region]])</f>
        <v>Australia</v>
      </c>
      <c r="G422" s="1">
        <v>2023</v>
      </c>
      <c r="H422" s="1">
        <v>8.5</v>
      </c>
      <c r="I422" s="1">
        <f>IF(H422="", AVERAGEIF('CLEANED DATASET'!$G$2:$G$532,G422,'CLEANED DATASET'!$H173),H422)</f>
        <v>8.5</v>
      </c>
      <c r="J422" s="1">
        <v>8.9</v>
      </c>
      <c r="K422" s="1">
        <f t="shared" si="47"/>
        <v>8.9</v>
      </c>
      <c r="L422" s="1">
        <v>7.1</v>
      </c>
      <c r="M422" s="1">
        <f t="shared" si="48"/>
        <v>7.1</v>
      </c>
      <c r="N422" s="1">
        <v>4.4000000000000004</v>
      </c>
      <c r="O422" s="1">
        <f t="shared" si="49"/>
        <v>4.4000000000000004</v>
      </c>
      <c r="P422" s="1">
        <v>6.9</v>
      </c>
      <c r="Q422" s="1">
        <f t="shared" si="54"/>
        <v>6.9</v>
      </c>
      <c r="R422" s="1" t="s">
        <v>572</v>
      </c>
      <c r="S422" s="1" t="str">
        <f>PROPER(Table3[[#This Row],[Cancer_Type]])</f>
        <v>Leukemia</v>
      </c>
      <c r="T422" s="1" t="s">
        <v>593</v>
      </c>
      <c r="U422" s="4">
        <v>72276.73</v>
      </c>
      <c r="V422" s="1">
        <v>4.0999999999999996</v>
      </c>
      <c r="W422" s="1">
        <f t="shared" ca="1" si="51"/>
        <v>3</v>
      </c>
      <c r="X422" s="1">
        <v>6.22</v>
      </c>
      <c r="Y422" s="1" t="str">
        <f t="shared" si="52"/>
        <v>Stage III</v>
      </c>
      <c r="Z422" s="10">
        <f t="shared" si="53"/>
        <v>72276.73</v>
      </c>
    </row>
    <row r="423" spans="1:26">
      <c r="A423" s="1" t="s">
        <v>536</v>
      </c>
      <c r="B423" s="1">
        <v>67</v>
      </c>
      <c r="C423" s="1" t="s">
        <v>541</v>
      </c>
      <c r="D423" s="1" t="str">
        <f>PROPER(Table3[[#This Row],[Gender]])</f>
        <v>Other</v>
      </c>
      <c r="E423" s="1" t="s">
        <v>554</v>
      </c>
      <c r="F423" s="1" t="str">
        <f>PROPER(Table3[[#This Row],[Country_Region]])</f>
        <v>Brazil</v>
      </c>
      <c r="G423" s="1">
        <v>2022</v>
      </c>
      <c r="H423" s="1">
        <v>9.1999999999999993</v>
      </c>
      <c r="I423" s="1">
        <f>IF(H423="", AVERAGEIF('CLEANED DATASET'!$G$2:$G$532,G423,'CLEANED DATASET'!$H528),H423)</f>
        <v>9.1999999999999993</v>
      </c>
      <c r="J423" s="1">
        <v>6.8</v>
      </c>
      <c r="K423" s="1">
        <f t="shared" si="47"/>
        <v>6.8</v>
      </c>
      <c r="L423" s="1">
        <v>8.4</v>
      </c>
      <c r="M423" s="1">
        <f t="shared" si="48"/>
        <v>8.4</v>
      </c>
      <c r="N423" s="1">
        <v>8.4</v>
      </c>
      <c r="O423" s="1">
        <f t="shared" si="49"/>
        <v>8.4</v>
      </c>
      <c r="P423" s="1">
        <v>7.6</v>
      </c>
      <c r="Q423" s="1">
        <f t="shared" si="54"/>
        <v>7.6</v>
      </c>
      <c r="R423" s="1" t="s">
        <v>571</v>
      </c>
      <c r="S423" s="1" t="str">
        <f>PROPER(Table3[[#This Row],[Cancer_Type]])</f>
        <v>Lung</v>
      </c>
      <c r="T423" s="1" t="s">
        <v>592</v>
      </c>
      <c r="U423" s="8">
        <v>71716.990000000005</v>
      </c>
      <c r="V423" s="1">
        <v>2.7</v>
      </c>
      <c r="W423" s="1">
        <f t="shared" ca="1" si="51"/>
        <v>4</v>
      </c>
      <c r="X423" s="1">
        <v>7.13</v>
      </c>
      <c r="Y423" s="1" t="str">
        <f t="shared" si="52"/>
        <v>Stage III</v>
      </c>
      <c r="Z423" s="10">
        <f t="shared" si="53"/>
        <v>71716.990000000005</v>
      </c>
    </row>
    <row r="424" spans="1:26">
      <c r="A424" s="1" t="s">
        <v>194</v>
      </c>
      <c r="B424" s="1">
        <v>69</v>
      </c>
      <c r="C424" s="1" t="s">
        <v>541</v>
      </c>
      <c r="D424" s="1" t="str">
        <f>PROPER(Table3[[#This Row],[Gender]])</f>
        <v>Other</v>
      </c>
      <c r="E424" s="1" t="s">
        <v>548</v>
      </c>
      <c r="F424" s="1" t="str">
        <f>PROPER(Table3[[#This Row],[Country_Region]])</f>
        <v>Uk</v>
      </c>
      <c r="G424" s="1">
        <v>2024</v>
      </c>
      <c r="H424" s="1"/>
      <c r="I424" s="3">
        <f ca="1">IF(H424="", AVERAGEIF('CLEANED DATASET'!$G$2:$G$532,G424,'CLEANED DATASET'!$H186),H424)</f>
        <v>4.6530612244897958</v>
      </c>
      <c r="J424" s="1">
        <v>2.2000000000000002</v>
      </c>
      <c r="K424" s="1">
        <f t="shared" si="47"/>
        <v>2.2000000000000002</v>
      </c>
      <c r="L424" s="1">
        <v>4.9000000000000004</v>
      </c>
      <c r="M424" s="1">
        <f t="shared" si="48"/>
        <v>4.9000000000000004</v>
      </c>
      <c r="N424" s="1">
        <v>0</v>
      </c>
      <c r="O424" s="1">
        <f t="shared" si="49"/>
        <v>0</v>
      </c>
      <c r="P424" s="1">
        <v>1.1000000000000001</v>
      </c>
      <c r="Q424" s="1">
        <f t="shared" si="54"/>
        <v>1.1000000000000001</v>
      </c>
      <c r="R424" s="1" t="s">
        <v>570</v>
      </c>
      <c r="S424" s="1" t="str">
        <f>PROPER(Table3[[#This Row],[Cancer_Type]])</f>
        <v>Skin</v>
      </c>
      <c r="T424" s="1" t="s">
        <v>592</v>
      </c>
      <c r="U424" s="8">
        <v>60891.88</v>
      </c>
      <c r="V424" s="1">
        <v>7</v>
      </c>
      <c r="W424" s="1">
        <f t="shared" ca="1" si="51"/>
        <v>7</v>
      </c>
      <c r="X424" s="1">
        <v>3.12</v>
      </c>
      <c r="Y424" s="1" t="str">
        <f t="shared" si="52"/>
        <v>Stage I</v>
      </c>
      <c r="Z424" s="10">
        <f t="shared" si="53"/>
        <v>60891.88</v>
      </c>
    </row>
    <row r="425" spans="1:26">
      <c r="A425" s="1" t="s">
        <v>268</v>
      </c>
      <c r="B425" s="1">
        <v>66</v>
      </c>
      <c r="C425" s="1" t="s">
        <v>542</v>
      </c>
      <c r="D425" s="1" t="str">
        <f>PROPER(Table3[[#This Row],[Gender]])</f>
        <v>Male</v>
      </c>
      <c r="E425" s="1" t="s">
        <v>550</v>
      </c>
      <c r="F425" s="1" t="str">
        <f>PROPER(Table3[[#This Row],[Country_Region]])</f>
        <v>Pakistan</v>
      </c>
      <c r="G425" s="1">
        <v>2023</v>
      </c>
      <c r="H425" s="1">
        <v>0.3</v>
      </c>
      <c r="I425" s="1">
        <f>IF(H425="", AVERAGEIF('CLEANED DATASET'!$G$2:$G$532,G425,'CLEANED DATASET'!$H260),H425)</f>
        <v>0.3</v>
      </c>
      <c r="J425" s="1">
        <v>8.9</v>
      </c>
      <c r="K425" s="1">
        <f t="shared" si="47"/>
        <v>8.9</v>
      </c>
      <c r="L425" s="1">
        <v>2.2999999999999998</v>
      </c>
      <c r="M425" s="1">
        <f t="shared" si="48"/>
        <v>2.2999999999999998</v>
      </c>
      <c r="N425" s="1">
        <v>0.8</v>
      </c>
      <c r="O425" s="1">
        <f t="shared" si="49"/>
        <v>0.8</v>
      </c>
      <c r="P425" s="1">
        <v>5.7</v>
      </c>
      <c r="Q425" s="1">
        <f t="shared" si="54"/>
        <v>5.7</v>
      </c>
      <c r="R425" s="1" t="s">
        <v>574</v>
      </c>
      <c r="S425" s="1" t="str">
        <f>PROPER(Table3[[#This Row],[Cancer_Type]])</f>
        <v>Colon</v>
      </c>
      <c r="T425" s="1" t="s">
        <v>592</v>
      </c>
      <c r="U425" s="4">
        <v>97309.26</v>
      </c>
      <c r="V425" s="1">
        <v>3.5</v>
      </c>
      <c r="W425" s="1">
        <f t="shared" ca="1" si="51"/>
        <v>7</v>
      </c>
      <c r="X425" s="1">
        <v>2.52</v>
      </c>
      <c r="Y425" s="1" t="str">
        <f t="shared" si="52"/>
        <v>Stage I</v>
      </c>
      <c r="Z425" s="10">
        <f t="shared" si="53"/>
        <v>97309.26</v>
      </c>
    </row>
    <row r="426" spans="1:26">
      <c r="A426" s="1" t="s">
        <v>511</v>
      </c>
      <c r="B426" s="1">
        <v>49</v>
      </c>
      <c r="C426" s="1" t="s">
        <v>542</v>
      </c>
      <c r="D426" s="1" t="str">
        <f>PROPER(Table3[[#This Row],[Gender]])</f>
        <v>Male</v>
      </c>
      <c r="E426" s="1" t="s">
        <v>548</v>
      </c>
      <c r="F426" s="1" t="str">
        <f>PROPER(Table3[[#This Row],[Country_Region]])</f>
        <v>Uk</v>
      </c>
      <c r="G426" s="1">
        <v>2024</v>
      </c>
      <c r="H426" s="1">
        <v>7.5</v>
      </c>
      <c r="I426" s="1">
        <f>IF(H426="", AVERAGEIF('CLEANED DATASET'!$G$2:$G$532,G426,'CLEANED DATASET'!$H503),H426)</f>
        <v>7.5</v>
      </c>
      <c r="J426" s="1">
        <v>4.5999999999999996</v>
      </c>
      <c r="K426" s="1">
        <f t="shared" si="47"/>
        <v>4.5999999999999996</v>
      </c>
      <c r="L426" s="1">
        <v>2.6</v>
      </c>
      <c r="M426" s="1">
        <f t="shared" si="48"/>
        <v>2.6</v>
      </c>
      <c r="N426" s="1">
        <v>5</v>
      </c>
      <c r="O426" s="1">
        <f t="shared" si="49"/>
        <v>5</v>
      </c>
      <c r="P426" s="1">
        <v>0.4</v>
      </c>
      <c r="Q426" s="1">
        <f t="shared" si="54"/>
        <v>0.4</v>
      </c>
      <c r="R426" s="1" t="s">
        <v>579</v>
      </c>
      <c r="S426" s="1" t="str">
        <f>PROPER(Table3[[#This Row],[Cancer_Type]])</f>
        <v>Prostate</v>
      </c>
      <c r="T426" s="1" t="s">
        <v>591</v>
      </c>
      <c r="U426" s="4">
        <v>81640.320000000007</v>
      </c>
      <c r="V426" s="1">
        <v>9.1999999999999993</v>
      </c>
      <c r="W426" s="1">
        <f t="shared" ca="1" si="51"/>
        <v>8</v>
      </c>
      <c r="X426" s="1">
        <v>3.99</v>
      </c>
      <c r="Y426" s="1" t="str">
        <f t="shared" si="52"/>
        <v>Stage I</v>
      </c>
      <c r="Z426" s="10">
        <f t="shared" si="53"/>
        <v>81640.320000000007</v>
      </c>
    </row>
    <row r="427" spans="1:26">
      <c r="A427" s="1" t="s">
        <v>222</v>
      </c>
      <c r="B427" s="1">
        <v>79</v>
      </c>
      <c r="C427" s="1" t="s">
        <v>613</v>
      </c>
      <c r="D427" s="1" t="str">
        <f>PROPER(Table3[[#This Row],[Gender]])</f>
        <v>Female</v>
      </c>
      <c r="E427" s="1" t="s">
        <v>549</v>
      </c>
      <c r="F427" s="1" t="str">
        <f>PROPER(Table3[[#This Row],[Country_Region]])</f>
        <v>Australia</v>
      </c>
      <c r="G427" s="1">
        <v>2022</v>
      </c>
      <c r="H427" s="1">
        <v>2.4</v>
      </c>
      <c r="I427" s="1">
        <f>IF(H427="", AVERAGEIF('CLEANED DATASET'!$G$2:$G$532,G427,'CLEANED DATASET'!$H214),H427)</f>
        <v>2.4</v>
      </c>
      <c r="J427" s="1">
        <v>0.7</v>
      </c>
      <c r="K427" s="1">
        <f t="shared" si="47"/>
        <v>0.7</v>
      </c>
      <c r="L427" s="1">
        <v>7.6</v>
      </c>
      <c r="M427" s="1">
        <f t="shared" si="48"/>
        <v>7.6</v>
      </c>
      <c r="N427" s="1">
        <v>1.3</v>
      </c>
      <c r="O427" s="1">
        <f t="shared" si="49"/>
        <v>1.3</v>
      </c>
      <c r="P427" s="1">
        <v>1.2</v>
      </c>
      <c r="Q427" s="1">
        <f t="shared" si="54"/>
        <v>1.2</v>
      </c>
      <c r="R427" s="1" t="s">
        <v>570</v>
      </c>
      <c r="S427" s="1" t="str">
        <f>PROPER(Table3[[#This Row],[Cancer_Type]])</f>
        <v>Skin</v>
      </c>
      <c r="T427" s="1" t="s">
        <v>590</v>
      </c>
      <c r="U427" s="4">
        <v>95007.58</v>
      </c>
      <c r="V427" s="1">
        <v>9.1</v>
      </c>
      <c r="W427" s="1">
        <f t="shared" ca="1" si="51"/>
        <v>7</v>
      </c>
      <c r="X427" s="1">
        <v>2.2000000000000002</v>
      </c>
      <c r="Y427" s="1" t="str">
        <f t="shared" si="52"/>
        <v>Stage I</v>
      </c>
      <c r="Z427" s="10">
        <f t="shared" si="53"/>
        <v>95007.58</v>
      </c>
    </row>
    <row r="428" spans="1:26">
      <c r="A428" s="1" t="s">
        <v>190</v>
      </c>
      <c r="B428" s="1">
        <v>33</v>
      </c>
      <c r="C428" s="1" t="s">
        <v>541</v>
      </c>
      <c r="D428" s="1" t="str">
        <f>PROPER(Table3[[#This Row],[Gender]])</f>
        <v>Other</v>
      </c>
      <c r="E428" s="1" t="s">
        <v>555</v>
      </c>
      <c r="F428" s="1" t="str">
        <f>PROPER(Table3[[#This Row],[Country_Region]])</f>
        <v>Russia</v>
      </c>
      <c r="G428" s="1">
        <v>2024</v>
      </c>
      <c r="H428" s="1">
        <v>6.4</v>
      </c>
      <c r="I428" s="1">
        <f>IF(H428="", AVERAGEIF('CLEANED DATASET'!$G$2:$G$532,G428,'CLEANED DATASET'!$H182),H428)</f>
        <v>6.4</v>
      </c>
      <c r="J428" s="1">
        <v>8.3000000000000007</v>
      </c>
      <c r="K428" s="1">
        <f t="shared" si="47"/>
        <v>8.3000000000000007</v>
      </c>
      <c r="L428" s="1">
        <v>2.7</v>
      </c>
      <c r="M428" s="1">
        <f t="shared" si="48"/>
        <v>2.7</v>
      </c>
      <c r="N428" s="1">
        <v>2.2999999999999998</v>
      </c>
      <c r="O428" s="1">
        <f t="shared" si="49"/>
        <v>2.2999999999999998</v>
      </c>
      <c r="P428" s="1">
        <v>3.8</v>
      </c>
      <c r="Q428" s="1">
        <f t="shared" si="54"/>
        <v>3.8</v>
      </c>
      <c r="R428" s="1" t="s">
        <v>570</v>
      </c>
      <c r="S428" s="1" t="str">
        <f>PROPER(Table3[[#This Row],[Cancer_Type]])</f>
        <v>Skin</v>
      </c>
      <c r="T428" s="1" t="s">
        <v>594</v>
      </c>
      <c r="U428" s="4">
        <v>44912.97</v>
      </c>
      <c r="V428" s="1">
        <v>9.1999999999999993</v>
      </c>
      <c r="W428" s="1">
        <f t="shared" ca="1" si="51"/>
        <v>5</v>
      </c>
      <c r="X428" s="1">
        <v>4.87</v>
      </c>
      <c r="Y428" s="1" t="str">
        <f t="shared" si="52"/>
        <v>Stage II</v>
      </c>
      <c r="Z428" s="10">
        <f t="shared" si="53"/>
        <v>44912.97</v>
      </c>
    </row>
    <row r="429" spans="1:26">
      <c r="A429" s="1" t="s">
        <v>70</v>
      </c>
      <c r="B429" s="1">
        <v>37</v>
      </c>
      <c r="C429" s="1" t="s">
        <v>543</v>
      </c>
      <c r="D429" s="1" t="str">
        <f>PROPER(Table3[[#This Row],[Gender]])</f>
        <v>Female</v>
      </c>
      <c r="E429" s="1" t="s">
        <v>560</v>
      </c>
      <c r="F429" s="1" t="str">
        <f>PROPER(Table3[[#This Row],[Country_Region]])</f>
        <v>Usa</v>
      </c>
      <c r="G429" s="1">
        <v>2024</v>
      </c>
      <c r="H429" s="1">
        <v>3.9</v>
      </c>
      <c r="I429" s="1">
        <f>IF(H429="", AVERAGEIF('CLEANED DATASET'!$G$2:$G$532,G429,'CLEANED DATASET'!$H62),H429)</f>
        <v>3.9</v>
      </c>
      <c r="J429" s="1">
        <v>7.6</v>
      </c>
      <c r="K429" s="1">
        <f t="shared" si="47"/>
        <v>7.6</v>
      </c>
      <c r="L429" s="1">
        <v>8.5</v>
      </c>
      <c r="M429" s="1">
        <f t="shared" si="48"/>
        <v>8.5</v>
      </c>
      <c r="N429" s="1">
        <v>9.9</v>
      </c>
      <c r="O429" s="1">
        <f t="shared" si="49"/>
        <v>9.9</v>
      </c>
      <c r="P429" s="1"/>
      <c r="Q429" s="3">
        <f t="shared" si="54"/>
        <v>1.8181818181818186</v>
      </c>
      <c r="R429" s="1" t="s">
        <v>579</v>
      </c>
      <c r="S429" s="1" t="str">
        <f>PROPER(Table3[[#This Row],[Cancer_Type]])</f>
        <v>Prostate</v>
      </c>
      <c r="T429" s="1" t="s">
        <v>590</v>
      </c>
      <c r="U429" s="4">
        <v>22437.66</v>
      </c>
      <c r="V429" s="1">
        <v>5.8</v>
      </c>
      <c r="W429" s="1">
        <f t="shared" ca="1" si="51"/>
        <v>3</v>
      </c>
      <c r="X429" s="1">
        <v>7.21</v>
      </c>
      <c r="Y429" s="1" t="str">
        <f t="shared" si="52"/>
        <v>Stage III</v>
      </c>
      <c r="Z429" s="10">
        <f t="shared" si="53"/>
        <v>22437.66</v>
      </c>
    </row>
    <row r="430" spans="1:26">
      <c r="A430" s="1" t="s">
        <v>326</v>
      </c>
      <c r="B430" s="1">
        <v>27</v>
      </c>
      <c r="C430" s="1" t="s">
        <v>541</v>
      </c>
      <c r="D430" s="1" t="str">
        <f>PROPER(Table3[[#This Row],[Gender]])</f>
        <v>Other</v>
      </c>
      <c r="E430" s="1" t="s">
        <v>550</v>
      </c>
      <c r="F430" s="1" t="str">
        <f>PROPER(Table3[[#This Row],[Country_Region]])</f>
        <v>Pakistan</v>
      </c>
      <c r="G430" s="1">
        <v>2022</v>
      </c>
      <c r="H430" s="1">
        <v>1.6</v>
      </c>
      <c r="I430" s="1">
        <f>IF(H430="", AVERAGEIF('CLEANED DATASET'!$G$2:$G$532,G430,'CLEANED DATASET'!$H318),H430)</f>
        <v>1.6</v>
      </c>
      <c r="J430" s="1">
        <v>7.2</v>
      </c>
      <c r="K430" s="1">
        <f t="shared" si="47"/>
        <v>7.2</v>
      </c>
      <c r="L430" s="1">
        <v>9</v>
      </c>
      <c r="M430" s="1">
        <f t="shared" si="48"/>
        <v>9</v>
      </c>
      <c r="N430" s="1">
        <v>3.4</v>
      </c>
      <c r="O430" s="1">
        <f t="shared" si="49"/>
        <v>3.4</v>
      </c>
      <c r="P430" s="1">
        <v>6.1</v>
      </c>
      <c r="Q430" s="1">
        <f t="shared" si="54"/>
        <v>6.1</v>
      </c>
      <c r="R430" s="1" t="s">
        <v>572</v>
      </c>
      <c r="S430" s="1" t="str">
        <f>PROPER(Table3[[#This Row],[Cancer_Type]])</f>
        <v>Leukemia</v>
      </c>
      <c r="T430" s="1" t="s">
        <v>593</v>
      </c>
      <c r="U430" s="4">
        <v>83724.320000000007</v>
      </c>
      <c r="V430" s="1">
        <v>3.3</v>
      </c>
      <c r="W430" s="1">
        <f t="shared" ca="1" si="51"/>
        <v>5</v>
      </c>
      <c r="X430" s="1">
        <v>4.37</v>
      </c>
      <c r="Y430" s="1" t="str">
        <f t="shared" si="52"/>
        <v>Stage II</v>
      </c>
      <c r="Z430" s="10">
        <f t="shared" si="53"/>
        <v>83724.320000000007</v>
      </c>
    </row>
    <row r="431" spans="1:26">
      <c r="A431" s="1" t="s">
        <v>23</v>
      </c>
      <c r="B431" s="1">
        <v>45</v>
      </c>
      <c r="C431" s="1" t="s">
        <v>541</v>
      </c>
      <c r="D431" s="1" t="str">
        <f>PROPER(Table3[[#This Row],[Gender]])</f>
        <v>Other</v>
      </c>
      <c r="E431" s="1" t="s">
        <v>555</v>
      </c>
      <c r="F431" s="1" t="str">
        <f>PROPER(Table3[[#This Row],[Country_Region]])</f>
        <v>Russia</v>
      </c>
      <c r="G431" s="1">
        <v>2023</v>
      </c>
      <c r="H431" s="1">
        <v>7.5</v>
      </c>
      <c r="I431" s="1">
        <f>IF(H431="", AVERAGEIF('CLEANED DATASET'!$G$2:$G$532,G431,'CLEANED DATASET'!$H15),H431)</f>
        <v>7.5</v>
      </c>
      <c r="J431" s="1">
        <v>1.2</v>
      </c>
      <c r="K431" s="1">
        <f t="shared" si="47"/>
        <v>1.2</v>
      </c>
      <c r="L431" s="1">
        <v>4.4000000000000004</v>
      </c>
      <c r="M431" s="1">
        <f t="shared" si="48"/>
        <v>4.4000000000000004</v>
      </c>
      <c r="N431" s="1">
        <v>7.8</v>
      </c>
      <c r="O431" s="1">
        <f t="shared" si="49"/>
        <v>7.8</v>
      </c>
      <c r="P431" s="1">
        <v>6.1</v>
      </c>
      <c r="Q431" s="1">
        <f t="shared" si="54"/>
        <v>6.1</v>
      </c>
      <c r="R431" s="1" t="s">
        <v>576</v>
      </c>
      <c r="S431" s="1" t="str">
        <f>PROPER(Table3[[#This Row],[Cancer_Type]])</f>
        <v>Cervical</v>
      </c>
      <c r="T431" s="1" t="s">
        <v>593</v>
      </c>
      <c r="U431" s="4">
        <v>65443.55</v>
      </c>
      <c r="V431" s="1">
        <v>7.8</v>
      </c>
      <c r="W431" s="1">
        <f t="shared" ca="1" si="51"/>
        <v>5</v>
      </c>
      <c r="X431" s="1">
        <v>5.2</v>
      </c>
      <c r="Y431" s="1" t="str">
        <f t="shared" si="52"/>
        <v>Stage II</v>
      </c>
      <c r="Z431" s="10">
        <f t="shared" si="53"/>
        <v>65443.55</v>
      </c>
    </row>
    <row r="432" spans="1:26">
      <c r="A432" s="1" t="s">
        <v>237</v>
      </c>
      <c r="B432" s="1">
        <v>83</v>
      </c>
      <c r="C432" s="1" t="s">
        <v>543</v>
      </c>
      <c r="D432" s="1" t="str">
        <f>PROPER(Table3[[#This Row],[Gender]])</f>
        <v>Female</v>
      </c>
      <c r="E432" s="1" t="s">
        <v>550</v>
      </c>
      <c r="F432" s="1" t="str">
        <f>PROPER(Table3[[#This Row],[Country_Region]])</f>
        <v>Pakistan</v>
      </c>
      <c r="G432" s="1">
        <v>2024</v>
      </c>
      <c r="H432" s="1">
        <v>9.4</v>
      </c>
      <c r="I432" s="1">
        <f>IF(H432="", AVERAGEIF('CLEANED DATASET'!$G$2:$G$532,G432,'CLEANED DATASET'!$H229),H432)</f>
        <v>9.4</v>
      </c>
      <c r="J432" s="1">
        <v>4.7</v>
      </c>
      <c r="K432" s="1">
        <f t="shared" si="47"/>
        <v>4.7</v>
      </c>
      <c r="L432" s="1">
        <v>8.6</v>
      </c>
      <c r="M432" s="1">
        <f t="shared" si="48"/>
        <v>8.6</v>
      </c>
      <c r="N432" s="1">
        <v>2.2999999999999998</v>
      </c>
      <c r="O432" s="1">
        <f t="shared" si="49"/>
        <v>2.2999999999999998</v>
      </c>
      <c r="P432" s="1">
        <v>7.6</v>
      </c>
      <c r="Q432" s="1">
        <f t="shared" si="54"/>
        <v>7.6</v>
      </c>
      <c r="R432" s="1" t="s">
        <v>570</v>
      </c>
      <c r="S432" s="1" t="str">
        <f>PROPER(Table3[[#This Row],[Cancer_Type]])</f>
        <v>Skin</v>
      </c>
      <c r="T432" s="1" t="s">
        <v>591</v>
      </c>
      <c r="U432" s="4">
        <v>6241.78</v>
      </c>
      <c r="V432" s="1">
        <v>4</v>
      </c>
      <c r="W432" s="1">
        <f t="shared" ca="1" si="51"/>
        <v>4</v>
      </c>
      <c r="X432" s="1">
        <v>6.97</v>
      </c>
      <c r="Y432" s="1" t="str">
        <f t="shared" si="52"/>
        <v>Stage III</v>
      </c>
      <c r="Z432" s="10">
        <f t="shared" si="53"/>
        <v>6241.78</v>
      </c>
    </row>
    <row r="433" spans="1:26">
      <c r="A433" s="1" t="s">
        <v>78</v>
      </c>
      <c r="B433" s="1">
        <v>84</v>
      </c>
      <c r="C433" s="1" t="s">
        <v>541</v>
      </c>
      <c r="D433" s="1" t="str">
        <f>PROPER(Table3[[#This Row],[Gender]])</f>
        <v>Other</v>
      </c>
      <c r="E433" s="1" t="s">
        <v>552</v>
      </c>
      <c r="F433" s="1" t="str">
        <f>PROPER(Table3[[#This Row],[Country_Region]])</f>
        <v>China</v>
      </c>
      <c r="G433" s="1">
        <v>2022</v>
      </c>
      <c r="H433" s="1">
        <v>10</v>
      </c>
      <c r="I433" s="1">
        <f>IF(H433="", AVERAGEIF('CLEANED DATASET'!$G$2:$G$532,G433,'CLEANED DATASET'!$H70),H433)</f>
        <v>10</v>
      </c>
      <c r="J433" s="1">
        <v>8.6999999999999993</v>
      </c>
      <c r="K433" s="1">
        <f t="shared" si="47"/>
        <v>8.6999999999999993</v>
      </c>
      <c r="L433" s="1">
        <v>4.5</v>
      </c>
      <c r="M433" s="1">
        <f t="shared" si="48"/>
        <v>4.5</v>
      </c>
      <c r="N433" s="1">
        <v>0.7</v>
      </c>
      <c r="O433" s="1">
        <f t="shared" si="49"/>
        <v>0.7</v>
      </c>
      <c r="P433" s="1">
        <v>9.8000000000000007</v>
      </c>
      <c r="Q433" s="1">
        <f t="shared" si="54"/>
        <v>9.8000000000000007</v>
      </c>
      <c r="R433" s="1" t="s">
        <v>570</v>
      </c>
      <c r="S433" s="1" t="str">
        <f>PROPER(Table3[[#This Row],[Cancer_Type]])</f>
        <v>Skin</v>
      </c>
      <c r="T433" s="1" t="s">
        <v>591</v>
      </c>
      <c r="U433" s="4">
        <v>21725.51</v>
      </c>
      <c r="V433" s="1">
        <v>8.1999999999999993</v>
      </c>
      <c r="W433" s="1">
        <f t="shared" ca="1" si="51"/>
        <v>3</v>
      </c>
      <c r="X433" s="1">
        <v>6.67</v>
      </c>
      <c r="Y433" s="1" t="str">
        <f t="shared" si="52"/>
        <v>Stage III</v>
      </c>
      <c r="Z433" s="10">
        <f t="shared" si="53"/>
        <v>21725.51</v>
      </c>
    </row>
    <row r="434" spans="1:26">
      <c r="A434" s="1" t="s">
        <v>95</v>
      </c>
      <c r="B434" s="1">
        <v>55</v>
      </c>
      <c r="C434" s="1" t="s">
        <v>610</v>
      </c>
      <c r="D434" s="1" t="str">
        <f>PROPER(Table3[[#This Row],[Gender]])</f>
        <v>Female</v>
      </c>
      <c r="E434" s="1" t="s">
        <v>554</v>
      </c>
      <c r="F434" s="1" t="str">
        <f>PROPER(Table3[[#This Row],[Country_Region]])</f>
        <v>Brazil</v>
      </c>
      <c r="G434" s="1">
        <v>2022</v>
      </c>
      <c r="H434" s="1">
        <v>3.9</v>
      </c>
      <c r="I434" s="1">
        <f>IF(H434="", AVERAGEIF('CLEANED DATASET'!$G$2:$G$532,G434,'CLEANED DATASET'!$H87),H434)</f>
        <v>3.9</v>
      </c>
      <c r="J434" s="1">
        <v>0.6</v>
      </c>
      <c r="K434" s="1">
        <f t="shared" si="47"/>
        <v>0.6</v>
      </c>
      <c r="L434" s="1">
        <v>8.6</v>
      </c>
      <c r="M434" s="1">
        <f t="shared" si="48"/>
        <v>8.6</v>
      </c>
      <c r="N434" s="1">
        <v>2.2000000000000002</v>
      </c>
      <c r="O434" s="1">
        <f t="shared" si="49"/>
        <v>2.2000000000000002</v>
      </c>
      <c r="P434" s="1">
        <v>6.8</v>
      </c>
      <c r="Q434" s="1">
        <f t="shared" si="54"/>
        <v>6.8</v>
      </c>
      <c r="R434" s="1" t="s">
        <v>579</v>
      </c>
      <c r="S434" s="1" t="str">
        <f>PROPER(Table3[[#This Row],[Cancer_Type]])</f>
        <v>Prostate</v>
      </c>
      <c r="T434" s="1" t="s">
        <v>591</v>
      </c>
      <c r="U434" s="4">
        <v>7418.51</v>
      </c>
      <c r="V434" s="1">
        <v>1.3</v>
      </c>
      <c r="W434" s="1">
        <f t="shared" ca="1" si="51"/>
        <v>6</v>
      </c>
      <c r="X434" s="1">
        <v>5.13</v>
      </c>
      <c r="Y434" s="1" t="str">
        <f t="shared" si="52"/>
        <v>Stage II</v>
      </c>
      <c r="Z434" s="10">
        <f t="shared" si="53"/>
        <v>7418.51</v>
      </c>
    </row>
    <row r="435" spans="1:26">
      <c r="A435" s="1" t="s">
        <v>20</v>
      </c>
      <c r="B435" s="1">
        <v>44</v>
      </c>
      <c r="C435" s="1" t="s">
        <v>543</v>
      </c>
      <c r="D435" s="1" t="str">
        <f>PROPER(Table3[[#This Row],[Gender]])</f>
        <v>Female</v>
      </c>
      <c r="E435" s="1" t="s">
        <v>553</v>
      </c>
      <c r="F435" s="1" t="str">
        <f>PROPER(Table3[[#This Row],[Country_Region]])</f>
        <v>Canada</v>
      </c>
      <c r="G435" s="1">
        <v>2022</v>
      </c>
      <c r="H435" s="1">
        <v>6.8</v>
      </c>
      <c r="I435" s="1">
        <f>IF(H435="", AVERAGEIF('CLEANED DATASET'!$G$2:$G$532,G435,'CLEANED DATASET'!$H12),H435)</f>
        <v>6.8</v>
      </c>
      <c r="J435" s="1">
        <v>5.8</v>
      </c>
      <c r="K435" s="1">
        <f t="shared" si="47"/>
        <v>5.8</v>
      </c>
      <c r="L435" s="1">
        <v>1.5</v>
      </c>
      <c r="M435" s="1">
        <f t="shared" si="48"/>
        <v>1.5</v>
      </c>
      <c r="N435" s="1"/>
      <c r="O435" s="3">
        <f t="shared" si="49"/>
        <v>4.9107142857142856</v>
      </c>
      <c r="P435" s="1">
        <v>6.3</v>
      </c>
      <c r="Q435" s="1">
        <f t="shared" si="54"/>
        <v>6.3</v>
      </c>
      <c r="R435" s="1" t="s">
        <v>546</v>
      </c>
      <c r="S435" s="1" t="str">
        <f>PROPER(Table3[[#This Row],[Cancer_Type]])</f>
        <v>Unknown</v>
      </c>
      <c r="T435" s="1" t="s">
        <v>591</v>
      </c>
      <c r="U435" s="4">
        <v>25754.37</v>
      </c>
      <c r="V435" s="1">
        <v>7.6</v>
      </c>
      <c r="W435" s="1">
        <f t="shared" ca="1" si="51"/>
        <v>5</v>
      </c>
      <c r="X435" s="1">
        <v>5.29</v>
      </c>
      <c r="Y435" s="1" t="str">
        <f t="shared" si="52"/>
        <v>Stage II</v>
      </c>
      <c r="Z435" s="10">
        <f t="shared" si="53"/>
        <v>25754.37</v>
      </c>
    </row>
    <row r="436" spans="1:26">
      <c r="A436" s="1" t="s">
        <v>199</v>
      </c>
      <c r="B436" s="1">
        <v>49</v>
      </c>
      <c r="C436" s="1" t="s">
        <v>543</v>
      </c>
      <c r="D436" s="1" t="str">
        <f>PROPER(Table3[[#This Row],[Gender]])</f>
        <v>Female</v>
      </c>
      <c r="E436" s="1" t="s">
        <v>549</v>
      </c>
      <c r="F436" s="1" t="str">
        <f>PROPER(Table3[[#This Row],[Country_Region]])</f>
        <v>Australia</v>
      </c>
      <c r="G436" s="1">
        <v>2022</v>
      </c>
      <c r="H436" s="1">
        <v>7.6</v>
      </c>
      <c r="I436" s="1">
        <f>IF(H436="", AVERAGEIF('CLEANED DATASET'!$G$2:$G$532,G436,'CLEANED DATASET'!$H191),H436)</f>
        <v>7.6</v>
      </c>
      <c r="J436" s="1">
        <v>3.2</v>
      </c>
      <c r="K436" s="1">
        <f t="shared" si="47"/>
        <v>3.2</v>
      </c>
      <c r="L436" s="1"/>
      <c r="M436" s="3">
        <f t="shared" si="48"/>
        <v>5.161538461538461</v>
      </c>
      <c r="N436" s="1">
        <v>5.2</v>
      </c>
      <c r="O436" s="1">
        <f t="shared" si="49"/>
        <v>5.2</v>
      </c>
      <c r="P436" s="1">
        <v>7.4</v>
      </c>
      <c r="Q436" s="1">
        <f t="shared" si="54"/>
        <v>7.4</v>
      </c>
      <c r="R436" s="1" t="s">
        <v>576</v>
      </c>
      <c r="S436" s="1" t="str">
        <f>PROPER(Table3[[#This Row],[Cancer_Type]])</f>
        <v>Cervical</v>
      </c>
      <c r="T436" s="1" t="s">
        <v>593</v>
      </c>
      <c r="U436" s="4">
        <v>57969.27</v>
      </c>
      <c r="V436" s="1">
        <v>9.1</v>
      </c>
      <c r="W436" s="1">
        <f t="shared" ca="1" si="51"/>
        <v>5</v>
      </c>
      <c r="X436" s="1">
        <v>5.04</v>
      </c>
      <c r="Y436" s="1" t="str">
        <f t="shared" si="52"/>
        <v>Stage II</v>
      </c>
      <c r="Z436" s="10">
        <f t="shared" si="53"/>
        <v>57969.27</v>
      </c>
    </row>
    <row r="437" spans="1:26">
      <c r="A437" s="1" t="s">
        <v>75</v>
      </c>
      <c r="B437" s="1">
        <v>69</v>
      </c>
      <c r="C437" s="1" t="s">
        <v>543</v>
      </c>
      <c r="D437" s="1" t="str">
        <f>PROPER(Table3[[#This Row],[Gender]])</f>
        <v>Female</v>
      </c>
      <c r="E437" s="1" t="s">
        <v>556</v>
      </c>
      <c r="F437" s="1" t="str">
        <f>PROPER(Table3[[#This Row],[Country_Region]])</f>
        <v>India</v>
      </c>
      <c r="G437" s="1">
        <v>2022</v>
      </c>
      <c r="H437" s="1">
        <v>3.7</v>
      </c>
      <c r="I437" s="1">
        <f>IF(H437="", AVERAGEIF('CLEANED DATASET'!$G$2:$G$532,G437,'CLEANED DATASET'!$H67),H437)</f>
        <v>3.7</v>
      </c>
      <c r="J437" s="1">
        <v>6.4</v>
      </c>
      <c r="K437" s="1">
        <f t="shared" si="47"/>
        <v>6.4</v>
      </c>
      <c r="L437" s="1">
        <v>4.7</v>
      </c>
      <c r="M437" s="1">
        <f t="shared" si="48"/>
        <v>4.7</v>
      </c>
      <c r="N437" s="1">
        <v>2.8</v>
      </c>
      <c r="O437" s="1">
        <f t="shared" si="49"/>
        <v>2.8</v>
      </c>
      <c r="P437" s="1"/>
      <c r="Q437" s="3">
        <f t="shared" si="54"/>
        <v>5.2148148148148143</v>
      </c>
      <c r="R437" s="1" t="s">
        <v>571</v>
      </c>
      <c r="S437" s="1" t="str">
        <f>PROPER(Table3[[#This Row],[Cancer_Type]])</f>
        <v>Lung</v>
      </c>
      <c r="T437" s="1" t="s">
        <v>592</v>
      </c>
      <c r="U437" s="4">
        <v>62850.49</v>
      </c>
      <c r="V437" s="1">
        <v>5.5</v>
      </c>
      <c r="W437" s="1">
        <f t="shared" ca="1" si="51"/>
        <v>7</v>
      </c>
      <c r="X437" s="1">
        <v>3.8</v>
      </c>
      <c r="Y437" s="1" t="str">
        <f t="shared" si="52"/>
        <v>Stage I</v>
      </c>
      <c r="Z437" s="10">
        <f t="shared" si="53"/>
        <v>62850.49</v>
      </c>
    </row>
    <row r="438" spans="1:26">
      <c r="A438" s="1" t="s">
        <v>267</v>
      </c>
      <c r="B438" s="1">
        <v>21</v>
      </c>
      <c r="C438" s="1" t="s">
        <v>546</v>
      </c>
      <c r="D438" s="1" t="str">
        <f>PROPER(Table3[[#This Row],[Gender]])</f>
        <v>Unknown</v>
      </c>
      <c r="E438" s="1" t="s">
        <v>552</v>
      </c>
      <c r="F438" s="1" t="str">
        <f>PROPER(Table3[[#This Row],[Country_Region]])</f>
        <v>China</v>
      </c>
      <c r="G438" s="1">
        <v>2023</v>
      </c>
      <c r="H438" s="1">
        <v>8.1</v>
      </c>
      <c r="I438" s="1">
        <f>IF(H438="", AVERAGEIF('CLEANED DATASET'!$G$2:$G$532,G438,'CLEANED DATASET'!$H259),H438)</f>
        <v>8.1</v>
      </c>
      <c r="J438" s="1">
        <v>1</v>
      </c>
      <c r="K438" s="1">
        <f t="shared" si="47"/>
        <v>1</v>
      </c>
      <c r="L438" s="1">
        <v>4.8</v>
      </c>
      <c r="M438" s="1">
        <f t="shared" si="48"/>
        <v>4.8</v>
      </c>
      <c r="N438" s="1">
        <v>9.4</v>
      </c>
      <c r="O438" s="1">
        <f t="shared" si="49"/>
        <v>9.4</v>
      </c>
      <c r="P438" s="1">
        <v>2.9</v>
      </c>
      <c r="Q438" s="1">
        <f t="shared" si="54"/>
        <v>2.9</v>
      </c>
      <c r="R438" s="1" t="s">
        <v>579</v>
      </c>
      <c r="S438" s="1" t="str">
        <f>PROPER(Table3[[#This Row],[Cancer_Type]])</f>
        <v>Prostate</v>
      </c>
      <c r="T438" s="1" t="s">
        <v>592</v>
      </c>
      <c r="U438" s="4">
        <v>60890.34</v>
      </c>
      <c r="V438" s="1">
        <v>4</v>
      </c>
      <c r="W438" s="1">
        <f t="shared" ca="1" si="51"/>
        <v>5</v>
      </c>
      <c r="X438" s="1">
        <v>5.44</v>
      </c>
      <c r="Y438" s="1" t="str">
        <f t="shared" si="52"/>
        <v>Stage II</v>
      </c>
      <c r="Z438" s="10">
        <f t="shared" si="53"/>
        <v>60890.34</v>
      </c>
    </row>
    <row r="439" spans="1:26">
      <c r="A439" s="1" t="s">
        <v>281</v>
      </c>
      <c r="B439" s="1">
        <v>27</v>
      </c>
      <c r="C439" s="1" t="s">
        <v>546</v>
      </c>
      <c r="D439" s="1" t="str">
        <f>PROPER(Table3[[#This Row],[Gender]])</f>
        <v>Unknown</v>
      </c>
      <c r="E439" s="1" t="s">
        <v>560</v>
      </c>
      <c r="F439" s="1" t="str">
        <f>PROPER(Table3[[#This Row],[Country_Region]])</f>
        <v>Usa</v>
      </c>
      <c r="G439" s="1">
        <v>2024</v>
      </c>
      <c r="H439" s="1">
        <v>3.1</v>
      </c>
      <c r="I439" s="1">
        <f>IF(H439="", AVERAGEIF('CLEANED DATASET'!$G$2:$G$532,G439,'CLEANED DATASET'!$H273),H439)</f>
        <v>3.1</v>
      </c>
      <c r="J439" s="1"/>
      <c r="K439" s="1">
        <f t="shared" si="47"/>
        <v>4.8</v>
      </c>
      <c r="L439" s="1">
        <v>4</v>
      </c>
      <c r="M439" s="1">
        <f t="shared" si="48"/>
        <v>4</v>
      </c>
      <c r="N439" s="1">
        <v>1.4</v>
      </c>
      <c r="O439" s="1">
        <f t="shared" si="49"/>
        <v>1.4</v>
      </c>
      <c r="P439" s="1">
        <v>8.6</v>
      </c>
      <c r="Q439" s="1">
        <f t="shared" si="54"/>
        <v>8.6</v>
      </c>
      <c r="R439" s="1" t="s">
        <v>575</v>
      </c>
      <c r="S439" s="1" t="str">
        <f>PROPER(Table3[[#This Row],[Cancer_Type]])</f>
        <v>Breast</v>
      </c>
      <c r="T439" s="1" t="s">
        <v>592</v>
      </c>
      <c r="U439" s="4">
        <v>61264.58</v>
      </c>
      <c r="V439" s="1">
        <v>6.6</v>
      </c>
      <c r="W439" s="1">
        <f t="shared" ca="1" si="51"/>
        <v>7</v>
      </c>
      <c r="X439" s="1">
        <v>3.13</v>
      </c>
      <c r="Y439" s="1" t="str">
        <f t="shared" si="52"/>
        <v>Stage I</v>
      </c>
      <c r="Z439" s="10">
        <f t="shared" si="53"/>
        <v>61264.58</v>
      </c>
    </row>
    <row r="440" spans="1:26">
      <c r="A440" s="1" t="s">
        <v>390</v>
      </c>
      <c r="B440" s="1">
        <v>36</v>
      </c>
      <c r="C440" s="1" t="s">
        <v>541</v>
      </c>
      <c r="D440" s="1" t="str">
        <f>PROPER(Table3[[#This Row],[Gender]])</f>
        <v>Other</v>
      </c>
      <c r="E440" s="1" t="s">
        <v>555</v>
      </c>
      <c r="F440" s="1" t="str">
        <f>PROPER(Table3[[#This Row],[Country_Region]])</f>
        <v>Russia</v>
      </c>
      <c r="G440" s="1">
        <v>2024</v>
      </c>
      <c r="H440" s="1">
        <v>2.4</v>
      </c>
      <c r="I440" s="1">
        <f>IF(H440="", AVERAGEIF('CLEANED DATASET'!$G$2:$G$532,G440,'CLEANED DATASET'!$H382),H440)</f>
        <v>2.4</v>
      </c>
      <c r="J440" s="1">
        <v>4.5999999999999996</v>
      </c>
      <c r="K440" s="1">
        <f t="shared" si="47"/>
        <v>4.5999999999999996</v>
      </c>
      <c r="L440" s="1">
        <v>9.5</v>
      </c>
      <c r="M440" s="1">
        <f t="shared" si="48"/>
        <v>9.5</v>
      </c>
      <c r="N440" s="1">
        <v>2.2999999999999998</v>
      </c>
      <c r="O440" s="1">
        <f t="shared" si="49"/>
        <v>2.2999999999999998</v>
      </c>
      <c r="P440" s="1">
        <v>5.4</v>
      </c>
      <c r="Q440" s="1">
        <f t="shared" si="54"/>
        <v>5.4</v>
      </c>
      <c r="R440" s="1" t="s">
        <v>572</v>
      </c>
      <c r="S440" s="1" t="str">
        <f>PROPER(Table3[[#This Row],[Cancer_Type]])</f>
        <v>Leukemia</v>
      </c>
      <c r="T440" s="1" t="s">
        <v>593</v>
      </c>
      <c r="U440" s="4">
        <v>36286.65</v>
      </c>
      <c r="V440" s="1">
        <v>2.9</v>
      </c>
      <c r="W440" s="1">
        <f t="shared" ca="1" si="51"/>
        <v>6</v>
      </c>
      <c r="X440" s="1">
        <v>4.87</v>
      </c>
      <c r="Y440" s="1" t="str">
        <f t="shared" si="52"/>
        <v>Stage II</v>
      </c>
      <c r="Z440" s="10">
        <f t="shared" si="53"/>
        <v>36286.65</v>
      </c>
    </row>
    <row r="441" spans="1:26">
      <c r="A441" s="1" t="s">
        <v>293</v>
      </c>
      <c r="B441" s="1">
        <v>40</v>
      </c>
      <c r="C441" s="1" t="s">
        <v>543</v>
      </c>
      <c r="D441" s="1" t="str">
        <f>PROPER(Table3[[#This Row],[Gender]])</f>
        <v>Female</v>
      </c>
      <c r="E441" s="1" t="s">
        <v>549</v>
      </c>
      <c r="F441" s="1" t="str">
        <f>PROPER(Table3[[#This Row],[Country_Region]])</f>
        <v>Australia</v>
      </c>
      <c r="G441" s="1">
        <v>2024</v>
      </c>
      <c r="H441" s="1">
        <v>4.3</v>
      </c>
      <c r="I441" s="1">
        <f>IF(H441="", AVERAGEIF('CLEANED DATASET'!$G$2:$G$532,G441,'CLEANED DATASET'!$H285),H441)</f>
        <v>4.3</v>
      </c>
      <c r="J441" s="1">
        <v>6.3</v>
      </c>
      <c r="K441" s="1">
        <f t="shared" si="47"/>
        <v>6.3</v>
      </c>
      <c r="L441" s="1">
        <v>3.2</v>
      </c>
      <c r="M441" s="1">
        <f t="shared" si="48"/>
        <v>3.2</v>
      </c>
      <c r="N441" s="1">
        <v>9.3000000000000007</v>
      </c>
      <c r="O441" s="1">
        <f t="shared" si="49"/>
        <v>9.3000000000000007</v>
      </c>
      <c r="P441" s="1">
        <v>6.5</v>
      </c>
      <c r="Q441" s="1">
        <f t="shared" si="54"/>
        <v>6.5</v>
      </c>
      <c r="R441" s="1" t="s">
        <v>571</v>
      </c>
      <c r="S441" s="1" t="str">
        <f>PROPER(Table3[[#This Row],[Cancer_Type]])</f>
        <v>Lung</v>
      </c>
      <c r="T441" s="1" t="s">
        <v>592</v>
      </c>
      <c r="U441" s="4">
        <v>30039.25</v>
      </c>
      <c r="V441" s="1">
        <v>1.6</v>
      </c>
      <c r="W441" s="1">
        <f t="shared" ca="1" si="51"/>
        <v>1</v>
      </c>
      <c r="X441" s="3">
        <f>ROUND(I441+K441+M441+O441+Q441+(10-V441)/6, 2)</f>
        <v>31</v>
      </c>
      <c r="Y441" s="1" t="str">
        <f t="shared" si="52"/>
        <v>Stage IV</v>
      </c>
      <c r="Z441" s="10">
        <f t="shared" si="53"/>
        <v>30039.25</v>
      </c>
    </row>
    <row r="442" spans="1:26">
      <c r="A442" s="1" t="s">
        <v>159</v>
      </c>
      <c r="B442" s="1">
        <v>23</v>
      </c>
      <c r="C442" s="1" t="s">
        <v>541</v>
      </c>
      <c r="D442" s="1" t="str">
        <f>PROPER(Table3[[#This Row],[Gender]])</f>
        <v>Other</v>
      </c>
      <c r="E442" s="1" t="s">
        <v>554</v>
      </c>
      <c r="F442" s="1" t="str">
        <f>PROPER(Table3[[#This Row],[Country_Region]])</f>
        <v>Brazil</v>
      </c>
      <c r="G442" s="1">
        <v>2022</v>
      </c>
      <c r="H442" s="1">
        <v>5</v>
      </c>
      <c r="I442" s="1">
        <f>IF(H442="", AVERAGEIF('CLEANED DATASET'!$G$2:$G$532,G442,'CLEANED DATASET'!$H151),H442)</f>
        <v>5</v>
      </c>
      <c r="J442" s="1">
        <v>0.7</v>
      </c>
      <c r="K442" s="1">
        <f t="shared" si="47"/>
        <v>0.7</v>
      </c>
      <c r="L442" s="1">
        <v>9</v>
      </c>
      <c r="M442" s="1">
        <f t="shared" si="48"/>
        <v>9</v>
      </c>
      <c r="N442" s="1">
        <v>6.2</v>
      </c>
      <c r="O442" s="1">
        <f t="shared" si="49"/>
        <v>6.2</v>
      </c>
      <c r="P442" s="1">
        <v>4</v>
      </c>
      <c r="Q442" s="1">
        <f t="shared" si="54"/>
        <v>4</v>
      </c>
      <c r="R442" s="1" t="s">
        <v>574</v>
      </c>
      <c r="S442" s="1" t="str">
        <f>PROPER(Table3[[#This Row],[Cancer_Type]])</f>
        <v>Colon</v>
      </c>
      <c r="T442" s="1" t="s">
        <v>593</v>
      </c>
      <c r="U442" s="4">
        <v>78871.960000000006</v>
      </c>
      <c r="V442" s="1">
        <v>9.8000000000000007</v>
      </c>
      <c r="W442" s="1">
        <f t="shared" ca="1" si="51"/>
        <v>5</v>
      </c>
      <c r="X442" s="1">
        <v>4.5199999999999996</v>
      </c>
      <c r="Y442" s="1" t="str">
        <f t="shared" si="52"/>
        <v>Stage II</v>
      </c>
      <c r="Z442" s="10">
        <f t="shared" si="53"/>
        <v>78871.960000000006</v>
      </c>
    </row>
    <row r="443" spans="1:26">
      <c r="A443" s="1" t="s">
        <v>144</v>
      </c>
      <c r="B443" s="1">
        <v>77</v>
      </c>
      <c r="C443" s="1" t="s">
        <v>542</v>
      </c>
      <c r="D443" s="1" t="str">
        <f>PROPER(Table3[[#This Row],[Gender]])</f>
        <v>Male</v>
      </c>
      <c r="E443" s="1" t="s">
        <v>553</v>
      </c>
      <c r="F443" s="1" t="str">
        <f>PROPER(Table3[[#This Row],[Country_Region]])</f>
        <v>Canada</v>
      </c>
      <c r="G443" s="1">
        <v>2022</v>
      </c>
      <c r="H443" s="1">
        <v>9.4</v>
      </c>
      <c r="I443" s="1">
        <f>IF(H443="", AVERAGEIF('CLEANED DATASET'!$G$2:$G$532,G443,'CLEANED DATASET'!$H136),H443)</f>
        <v>9.4</v>
      </c>
      <c r="J443" s="1">
        <v>3.3</v>
      </c>
      <c r="K443" s="1">
        <f t="shared" si="47"/>
        <v>3.3</v>
      </c>
      <c r="L443" s="1">
        <v>7.1</v>
      </c>
      <c r="M443" s="1">
        <f t="shared" si="48"/>
        <v>7.1</v>
      </c>
      <c r="N443" s="1">
        <v>8.3000000000000007</v>
      </c>
      <c r="O443" s="1">
        <f t="shared" si="49"/>
        <v>8.3000000000000007</v>
      </c>
      <c r="P443" s="1">
        <v>7.7</v>
      </c>
      <c r="Q443" s="1">
        <f t="shared" si="54"/>
        <v>7.7</v>
      </c>
      <c r="R443" s="1" t="s">
        <v>573</v>
      </c>
      <c r="S443" s="1" t="str">
        <f>PROPER(Table3[[#This Row],[Cancer_Type]])</f>
        <v>Breast</v>
      </c>
      <c r="T443" s="1" t="s">
        <v>593</v>
      </c>
      <c r="U443" s="4">
        <v>98791.92</v>
      </c>
      <c r="V443" s="1">
        <v>9.9</v>
      </c>
      <c r="W443" s="1">
        <f t="shared" ca="1" si="51"/>
        <v>5</v>
      </c>
      <c r="X443" s="1">
        <v>5.89</v>
      </c>
      <c r="Y443" s="1" t="str">
        <f t="shared" si="52"/>
        <v>Stage II</v>
      </c>
      <c r="Z443" s="10">
        <f t="shared" si="53"/>
        <v>98791.92</v>
      </c>
    </row>
    <row r="444" spans="1:26">
      <c r="A444" s="1" t="s">
        <v>369</v>
      </c>
      <c r="B444" s="1">
        <v>81</v>
      </c>
      <c r="C444" s="1" t="s">
        <v>542</v>
      </c>
      <c r="D444" s="1" t="str">
        <f>PROPER(Table3[[#This Row],[Gender]])</f>
        <v>Male</v>
      </c>
      <c r="E444" s="1" t="s">
        <v>560</v>
      </c>
      <c r="F444" s="1" t="str">
        <f>PROPER(Table3[[#This Row],[Country_Region]])</f>
        <v>Usa</v>
      </c>
      <c r="G444" s="1">
        <v>2024</v>
      </c>
      <c r="H444" s="1">
        <v>6.5</v>
      </c>
      <c r="I444" s="1">
        <f>IF(H444="", AVERAGEIF('CLEANED DATASET'!$G$2:$G$532,G444,'CLEANED DATASET'!$H361),H444)</f>
        <v>6.5</v>
      </c>
      <c r="J444" s="1">
        <v>3</v>
      </c>
      <c r="K444" s="1">
        <f t="shared" si="47"/>
        <v>3</v>
      </c>
      <c r="L444" s="1">
        <v>8.9</v>
      </c>
      <c r="M444" s="1">
        <f t="shared" si="48"/>
        <v>8.9</v>
      </c>
      <c r="N444" s="1">
        <v>3.8</v>
      </c>
      <c r="O444" s="1">
        <f t="shared" si="49"/>
        <v>3.8</v>
      </c>
      <c r="P444" s="1">
        <v>2.2000000000000002</v>
      </c>
      <c r="Q444" s="1">
        <f t="shared" si="54"/>
        <v>2.2000000000000002</v>
      </c>
      <c r="R444" s="1" t="s">
        <v>572</v>
      </c>
      <c r="S444" s="1" t="str">
        <f>PROPER(Table3[[#This Row],[Cancer_Type]])</f>
        <v>Leukemia</v>
      </c>
      <c r="T444" s="1" t="s">
        <v>591</v>
      </c>
      <c r="U444" s="4">
        <v>47801.59</v>
      </c>
      <c r="V444" s="1">
        <v>3.9</v>
      </c>
      <c r="W444" s="1">
        <f t="shared" ca="1" si="51"/>
        <v>5</v>
      </c>
      <c r="X444" s="1">
        <v>5.1100000000000003</v>
      </c>
      <c r="Y444" s="1" t="str">
        <f t="shared" si="52"/>
        <v>Stage II</v>
      </c>
      <c r="Z444" s="10">
        <f t="shared" si="53"/>
        <v>47801.59</v>
      </c>
    </row>
    <row r="445" spans="1:26">
      <c r="A445" s="1" t="s">
        <v>176</v>
      </c>
      <c r="B445" s="1">
        <v>77</v>
      </c>
      <c r="C445" s="1" t="s">
        <v>541</v>
      </c>
      <c r="D445" s="1" t="str">
        <f>PROPER(Table3[[#This Row],[Gender]])</f>
        <v>Other</v>
      </c>
      <c r="E445" s="5" t="s">
        <v>556</v>
      </c>
      <c r="F445" s="1" t="str">
        <f>PROPER(Table3[[#This Row],[Country_Region]])</f>
        <v>India</v>
      </c>
      <c r="G445" s="1">
        <v>2024</v>
      </c>
      <c r="H445" s="1">
        <v>2.6</v>
      </c>
      <c r="I445" s="1">
        <f>IF(H445="", AVERAGEIF('CLEANED DATASET'!$G$2:$G$532,G445,'CLEANED DATASET'!$H168),H445)</f>
        <v>2.6</v>
      </c>
      <c r="J445" s="1"/>
      <c r="K445" s="1">
        <f t="shared" si="47"/>
        <v>4.9000000000000004</v>
      </c>
      <c r="L445" s="1">
        <v>4.3</v>
      </c>
      <c r="M445" s="1">
        <f t="shared" si="48"/>
        <v>4.3</v>
      </c>
      <c r="N445" s="1">
        <v>3.3</v>
      </c>
      <c r="O445" s="1">
        <f t="shared" si="49"/>
        <v>3.3</v>
      </c>
      <c r="P445" s="1">
        <v>0.1</v>
      </c>
      <c r="Q445" s="1">
        <f t="shared" si="54"/>
        <v>0.1</v>
      </c>
      <c r="R445" s="1" t="s">
        <v>576</v>
      </c>
      <c r="S445" s="1" t="str">
        <f>PROPER(Table3[[#This Row],[Cancer_Type]])</f>
        <v>Cervical</v>
      </c>
      <c r="T445" s="1" t="s">
        <v>594</v>
      </c>
      <c r="U445" s="4">
        <v>96388.21</v>
      </c>
      <c r="V445" s="1">
        <f>ROUND(10-((I445+K445+M445+O445+Q445)/5),1)</f>
        <v>7</v>
      </c>
      <c r="W445" s="1">
        <f t="shared" ca="1" si="51"/>
        <v>8</v>
      </c>
      <c r="X445" s="1">
        <v>3.39</v>
      </c>
      <c r="Y445" s="1" t="str">
        <f t="shared" si="52"/>
        <v>Stage I</v>
      </c>
      <c r="Z445" s="10">
        <f t="shared" si="53"/>
        <v>96388.21</v>
      </c>
    </row>
    <row r="446" spans="1:26">
      <c r="A446" s="1" t="s">
        <v>500</v>
      </c>
      <c r="B446" s="1">
        <v>23</v>
      </c>
      <c r="C446" s="1" t="s">
        <v>546</v>
      </c>
      <c r="D446" s="1" t="str">
        <f>PROPER(Table3[[#This Row],[Gender]])</f>
        <v>Unknown</v>
      </c>
      <c r="E446" s="1" t="s">
        <v>550</v>
      </c>
      <c r="F446" s="1" t="str">
        <f>PROPER(Table3[[#This Row],[Country_Region]])</f>
        <v>Pakistan</v>
      </c>
      <c r="G446" s="1">
        <v>2024</v>
      </c>
      <c r="H446" s="1">
        <v>9.8000000000000007</v>
      </c>
      <c r="I446" s="1">
        <f>IF(H446="", AVERAGEIF('CLEANED DATASET'!$G$2:$G$532,G446,'CLEANED DATASET'!$H492),H446)</f>
        <v>9.8000000000000007</v>
      </c>
      <c r="J446" s="1">
        <v>4</v>
      </c>
      <c r="K446" s="1">
        <f t="shared" si="47"/>
        <v>4</v>
      </c>
      <c r="L446" s="1">
        <v>9</v>
      </c>
      <c r="M446" s="1">
        <f t="shared" si="48"/>
        <v>9</v>
      </c>
      <c r="N446" s="1">
        <v>8</v>
      </c>
      <c r="O446" s="1">
        <f t="shared" si="49"/>
        <v>8</v>
      </c>
      <c r="P446" s="1">
        <v>5.5</v>
      </c>
      <c r="Q446" s="1">
        <f t="shared" si="54"/>
        <v>5.5</v>
      </c>
      <c r="R446" s="1" t="s">
        <v>602</v>
      </c>
      <c r="S446" s="1" t="str">
        <f>PROPER(Table3[[#This Row],[Cancer_Type]])</f>
        <v>Unknown</v>
      </c>
      <c r="T446" s="1" t="s">
        <v>592</v>
      </c>
      <c r="U446" s="4"/>
      <c r="V446" s="1">
        <v>4.0999999999999996</v>
      </c>
      <c r="W446" s="1">
        <f t="shared" ca="1" si="51"/>
        <v>4</v>
      </c>
      <c r="X446" s="1">
        <v>7.33</v>
      </c>
      <c r="Y446" s="1" t="str">
        <f t="shared" si="52"/>
        <v>Stage III</v>
      </c>
      <c r="Z446" s="10">
        <f t="shared" si="53"/>
        <v>48728.46</v>
      </c>
    </row>
    <row r="447" spans="1:26">
      <c r="A447" s="1" t="s">
        <v>508</v>
      </c>
      <c r="B447" s="1">
        <v>25</v>
      </c>
      <c r="C447" s="1" t="s">
        <v>541</v>
      </c>
      <c r="D447" s="1" t="str">
        <f>PROPER(Table3[[#This Row],[Gender]])</f>
        <v>Other</v>
      </c>
      <c r="E447" s="1" t="s">
        <v>644</v>
      </c>
      <c r="F447" s="1" t="str">
        <f>PROPER(Table3[[#This Row],[Country_Region]])</f>
        <v>Germany</v>
      </c>
      <c r="G447" s="1">
        <v>2023</v>
      </c>
      <c r="H447" s="1">
        <v>2.4</v>
      </c>
      <c r="I447" s="1">
        <f>IF(H447="", AVERAGEIF('CLEANED DATASET'!$G$2:$G$532,G447,'CLEANED DATASET'!$H500),H447)</f>
        <v>2.4</v>
      </c>
      <c r="J447" s="1"/>
      <c r="K447" s="1">
        <f t="shared" si="47"/>
        <v>4.0999999999999996</v>
      </c>
      <c r="L447" s="1"/>
      <c r="M447" s="1">
        <f t="shared" si="48"/>
        <v>4.5000000000000009</v>
      </c>
      <c r="N447" s="1">
        <v>3.9</v>
      </c>
      <c r="O447" s="1">
        <f t="shared" si="49"/>
        <v>3.9</v>
      </c>
      <c r="P447" s="1">
        <v>6.4</v>
      </c>
      <c r="Q447" s="1">
        <f t="shared" si="54"/>
        <v>6.4</v>
      </c>
      <c r="R447" s="1" t="s">
        <v>576</v>
      </c>
      <c r="S447" s="1" t="str">
        <f>PROPER(Table3[[#This Row],[Cancer_Type]])</f>
        <v>Cervical</v>
      </c>
      <c r="T447" s="1" t="s">
        <v>591</v>
      </c>
      <c r="U447" s="4">
        <v>37676.57</v>
      </c>
      <c r="V447" s="1">
        <v>1</v>
      </c>
      <c r="W447" s="1">
        <f t="shared" ca="1" si="51"/>
        <v>5</v>
      </c>
      <c r="X447" s="1">
        <v>4.57</v>
      </c>
      <c r="Y447" s="1" t="str">
        <f t="shared" si="52"/>
        <v>Stage II</v>
      </c>
      <c r="Z447" s="10">
        <f t="shared" si="53"/>
        <v>37676.57</v>
      </c>
    </row>
    <row r="448" spans="1:26">
      <c r="A448" s="1" t="s">
        <v>101</v>
      </c>
      <c r="B448" s="1">
        <v>47</v>
      </c>
      <c r="C448" s="1" t="s">
        <v>541</v>
      </c>
      <c r="D448" s="1" t="str">
        <f>PROPER(Table3[[#This Row],[Gender]])</f>
        <v>Other</v>
      </c>
      <c r="E448" s="1" t="s">
        <v>553</v>
      </c>
      <c r="F448" s="1" t="str">
        <f>PROPER(Table3[[#This Row],[Country_Region]])</f>
        <v>Canada</v>
      </c>
      <c r="G448" s="1">
        <v>2023</v>
      </c>
      <c r="H448" s="1">
        <v>0.1</v>
      </c>
      <c r="I448" s="1">
        <f>IF(H448="", AVERAGEIF('CLEANED DATASET'!$G$2:$G$532,G448,'CLEANED DATASET'!$H93),H448)</f>
        <v>0.1</v>
      </c>
      <c r="J448" s="1">
        <v>0.9</v>
      </c>
      <c r="K448" s="1">
        <f t="shared" si="47"/>
        <v>0.9</v>
      </c>
      <c r="L448" s="1">
        <v>4.3</v>
      </c>
      <c r="M448" s="1">
        <f t="shared" si="48"/>
        <v>4.3</v>
      </c>
      <c r="N448" s="1">
        <v>10</v>
      </c>
      <c r="O448" s="1">
        <f t="shared" si="49"/>
        <v>10</v>
      </c>
      <c r="P448" s="1">
        <v>2.9</v>
      </c>
      <c r="Q448" s="1">
        <f t="shared" si="54"/>
        <v>2.9</v>
      </c>
      <c r="R448" s="1" t="s">
        <v>576</v>
      </c>
      <c r="S448" s="1" t="str">
        <f>PROPER(Table3[[#This Row],[Cancer_Type]])</f>
        <v>Cervical</v>
      </c>
      <c r="T448" s="1" t="s">
        <v>590</v>
      </c>
      <c r="U448" s="4">
        <v>93134.63</v>
      </c>
      <c r="V448" s="1">
        <v>6.7</v>
      </c>
      <c r="W448" s="1">
        <f t="shared" ca="1" si="51"/>
        <v>7</v>
      </c>
      <c r="X448" s="1">
        <v>3.23</v>
      </c>
      <c r="Y448" s="1" t="str">
        <f t="shared" si="52"/>
        <v>Stage I</v>
      </c>
      <c r="Z448" s="10">
        <f t="shared" si="53"/>
        <v>93134.63</v>
      </c>
    </row>
    <row r="449" spans="1:26">
      <c r="A449" s="1" t="s">
        <v>58</v>
      </c>
      <c r="B449" s="1">
        <v>72</v>
      </c>
      <c r="C449" s="1" t="s">
        <v>543</v>
      </c>
      <c r="D449" s="1" t="str">
        <f>PROPER(Table3[[#This Row],[Gender]])</f>
        <v>Female</v>
      </c>
      <c r="E449" s="1" t="s">
        <v>634</v>
      </c>
      <c r="F449" s="1" t="str">
        <f>PROPER(Table3[[#This Row],[Country_Region]])</f>
        <v>Germany</v>
      </c>
      <c r="G449" s="1">
        <v>2022</v>
      </c>
      <c r="H449" s="1">
        <v>8.8000000000000007</v>
      </c>
      <c r="I449" s="1">
        <f>IF(H449="", AVERAGEIF('CLEANED DATASET'!$G$2:$G$532,G449,'CLEANED DATASET'!$H50),H449)</f>
        <v>8.8000000000000007</v>
      </c>
      <c r="J449" s="1">
        <v>1.9</v>
      </c>
      <c r="K449" s="1">
        <f t="shared" si="47"/>
        <v>1.9</v>
      </c>
      <c r="L449" s="1"/>
      <c r="M449" s="3">
        <f t="shared" si="48"/>
        <v>4.9304347826086952</v>
      </c>
      <c r="N449" s="1">
        <v>2.4</v>
      </c>
      <c r="O449" s="1">
        <f t="shared" si="49"/>
        <v>2.4</v>
      </c>
      <c r="P449" s="1">
        <v>4.0999999999999996</v>
      </c>
      <c r="Q449" s="1">
        <f t="shared" si="54"/>
        <v>4.0999999999999996</v>
      </c>
      <c r="R449" s="1" t="s">
        <v>572</v>
      </c>
      <c r="S449" s="1" t="str">
        <f>PROPER(Table3[[#This Row],[Cancer_Type]])</f>
        <v>Leukemia</v>
      </c>
      <c r="T449" s="1" t="s">
        <v>590</v>
      </c>
      <c r="U449" s="4">
        <v>66534.52</v>
      </c>
      <c r="V449" s="1">
        <v>8.1999999999999993</v>
      </c>
      <c r="W449" s="1">
        <f t="shared" ca="1" si="51"/>
        <v>5</v>
      </c>
      <c r="X449" s="1">
        <v>4.6100000000000003</v>
      </c>
      <c r="Y449" s="1" t="str">
        <f t="shared" si="52"/>
        <v>Stage II</v>
      </c>
      <c r="Z449" s="10">
        <f t="shared" si="53"/>
        <v>66534.52</v>
      </c>
    </row>
    <row r="450" spans="1:26">
      <c r="A450" s="1" t="s">
        <v>533</v>
      </c>
      <c r="B450" s="1">
        <v>37</v>
      </c>
      <c r="C450" s="1" t="s">
        <v>543</v>
      </c>
      <c r="D450" s="1" t="str">
        <f>PROPER(Table3[[#This Row],[Gender]])</f>
        <v>Female</v>
      </c>
      <c r="E450" s="1" t="s">
        <v>554</v>
      </c>
      <c r="F450" s="1" t="str">
        <f>PROPER(Table3[[#This Row],[Country_Region]])</f>
        <v>Brazil</v>
      </c>
      <c r="G450" s="1">
        <v>2023</v>
      </c>
      <c r="H450" s="1">
        <v>5.5</v>
      </c>
      <c r="I450" s="1">
        <f>IF(H450="", AVERAGEIF('CLEANED DATASET'!$G$2:$G$532,G450,'CLEANED DATASET'!$H525),H450)</f>
        <v>5.5</v>
      </c>
      <c r="J450" s="1"/>
      <c r="K450" s="1">
        <f t="shared" ref="K450:K513" si="55">IF(J450="",ROUND(AVERAGEIF(G454:G980,G450,J450:J980),1),J450)</f>
        <v>4.0999999999999996</v>
      </c>
      <c r="L450" s="1">
        <v>9.1</v>
      </c>
      <c r="M450" s="1">
        <f t="shared" ref="M450:M513" si="56">IF(L450="", AVERAGEIF(G450:G980, G450,L450:L980),L450)</f>
        <v>9.1</v>
      </c>
      <c r="N450" s="1">
        <v>1.5</v>
      </c>
      <c r="O450" s="1">
        <f t="shared" ref="O450:O513" si="57">IF(N450="",AVERAGEIF(G450:G980,G450,N450:N980),N450)</f>
        <v>1.5</v>
      </c>
      <c r="P450" s="1">
        <v>0.1</v>
      </c>
      <c r="Q450" s="1">
        <f t="shared" ref="Q450:Q457" si="58">IF(P450="",AVERAGEIF(G450:G980,G450,P450:P980),P450)</f>
        <v>0.1</v>
      </c>
      <c r="R450" s="1" t="s">
        <v>574</v>
      </c>
      <c r="S450" s="1" t="str">
        <f>PROPER(Table3[[#This Row],[Cancer_Type]])</f>
        <v>Colon</v>
      </c>
      <c r="T450" s="1" t="s">
        <v>592</v>
      </c>
      <c r="U450" s="4">
        <v>75460.929999999993</v>
      </c>
      <c r="V450" s="1">
        <v>4.0999999999999996</v>
      </c>
      <c r="W450" s="1">
        <f t="shared" ref="W450:W513" ca="1" si="59">IF(Y450="Stage 0",RANDBETWEEN(9,10),
IF(Y450="Stage I",RANDBETWEEN(7,8),
IF(Y450="Stage II",RANDBETWEEN(5,6),
IF(Y450="Stage III",RANDBETWEEN(3,4),
IF(Y450="Stage IV",RANDBETWEEN(1,2),"")))))</f>
        <v>6</v>
      </c>
      <c r="X450" s="1">
        <v>4.6900000000000004</v>
      </c>
      <c r="Y450" s="1" t="str">
        <f t="shared" ref="Y450:Y513" si="60">IF(X450&lt;=2,"Stage 0",IF(X450&lt;=4,"Stage I",IF(X450&lt;=6,"Stage II",IF(X450&lt;=8,"Stage III", "Stage IV"))))</f>
        <v>Stage II</v>
      </c>
      <c r="Z450" s="10">
        <f t="shared" si="53"/>
        <v>75460.929999999993</v>
      </c>
    </row>
    <row r="451" spans="1:26">
      <c r="A451" s="1" t="s">
        <v>317</v>
      </c>
      <c r="B451" s="1">
        <v>49</v>
      </c>
      <c r="C451" s="1" t="s">
        <v>541</v>
      </c>
      <c r="D451" s="1" t="str">
        <f>PROPER(Table3[[#This Row],[Gender]])</f>
        <v>Other</v>
      </c>
      <c r="E451" s="1" t="s">
        <v>566</v>
      </c>
      <c r="F451" s="1" t="str">
        <f>PROPER(Table3[[#This Row],[Country_Region]])</f>
        <v>Pakistan</v>
      </c>
      <c r="G451" s="1">
        <v>2022</v>
      </c>
      <c r="H451" s="1">
        <v>7.6</v>
      </c>
      <c r="I451" s="1">
        <f>IF(H451="", AVERAGEIF('CLEANED DATASET'!$G$2:$G$532,G451,'CLEANED DATASET'!$H309),H451)</f>
        <v>7.6</v>
      </c>
      <c r="J451" s="1">
        <v>3.5</v>
      </c>
      <c r="K451" s="1">
        <f t="shared" si="55"/>
        <v>3.5</v>
      </c>
      <c r="L451" s="1">
        <v>1.6</v>
      </c>
      <c r="M451" s="1">
        <f t="shared" si="56"/>
        <v>1.6</v>
      </c>
      <c r="N451" s="1">
        <v>9.5</v>
      </c>
      <c r="O451" s="1">
        <f t="shared" si="57"/>
        <v>9.5</v>
      </c>
      <c r="P451" s="1">
        <v>2.6</v>
      </c>
      <c r="Q451" s="1">
        <f t="shared" si="58"/>
        <v>2.6</v>
      </c>
      <c r="R451" s="1" t="s">
        <v>578</v>
      </c>
      <c r="S451" s="1" t="str">
        <f>PROPER(Table3[[#This Row],[Cancer_Type]])</f>
        <v>Liver</v>
      </c>
      <c r="T451" s="1" t="s">
        <v>590</v>
      </c>
      <c r="U451" s="4">
        <v>92497.73</v>
      </c>
      <c r="V451" s="1">
        <v>2.1</v>
      </c>
      <c r="W451" s="1">
        <f t="shared" ca="1" si="59"/>
        <v>6</v>
      </c>
      <c r="X451" s="1">
        <v>4.5999999999999996</v>
      </c>
      <c r="Y451" s="1" t="str">
        <f t="shared" si="60"/>
        <v>Stage II</v>
      </c>
      <c r="Z451" s="10">
        <f t="shared" si="53"/>
        <v>92497.73</v>
      </c>
    </row>
    <row r="452" spans="1:26">
      <c r="A452" s="1" t="s">
        <v>203</v>
      </c>
      <c r="B452" s="1">
        <v>86</v>
      </c>
      <c r="C452" s="1" t="s">
        <v>541</v>
      </c>
      <c r="D452" s="1" t="str">
        <f>PROPER(Table3[[#This Row],[Gender]])</f>
        <v>Other</v>
      </c>
      <c r="E452" s="1" t="s">
        <v>560</v>
      </c>
      <c r="F452" s="1" t="str">
        <f>PROPER(Table3[[#This Row],[Country_Region]])</f>
        <v>Usa</v>
      </c>
      <c r="G452" s="1">
        <v>2022</v>
      </c>
      <c r="H452" s="1">
        <v>5.5</v>
      </c>
      <c r="I452" s="1">
        <f>IF(H452="", AVERAGEIF('CLEANED DATASET'!$G$2:$G$532,G452,'CLEANED DATASET'!$H195),H452)</f>
        <v>5.5</v>
      </c>
      <c r="J452" s="1">
        <v>2.2000000000000002</v>
      </c>
      <c r="K452" s="1">
        <f t="shared" si="55"/>
        <v>2.2000000000000002</v>
      </c>
      <c r="L452" s="1">
        <v>5.2</v>
      </c>
      <c r="M452" s="1">
        <f t="shared" si="56"/>
        <v>5.2</v>
      </c>
      <c r="N452" s="1">
        <v>8.4</v>
      </c>
      <c r="O452" s="1">
        <f t="shared" si="57"/>
        <v>8.4</v>
      </c>
      <c r="P452" s="1">
        <v>0.1</v>
      </c>
      <c r="Q452" s="1">
        <f t="shared" si="58"/>
        <v>0.1</v>
      </c>
      <c r="R452" s="1" t="s">
        <v>571</v>
      </c>
      <c r="S452" s="1" t="str">
        <f>PROPER(Table3[[#This Row],[Cancer_Type]])</f>
        <v>Lung</v>
      </c>
      <c r="T452" s="1" t="s">
        <v>594</v>
      </c>
      <c r="U452" s="4">
        <v>82523.55</v>
      </c>
      <c r="V452" s="1">
        <v>0.6</v>
      </c>
      <c r="W452" s="1">
        <f t="shared" ca="1" si="59"/>
        <v>5</v>
      </c>
      <c r="X452" s="1">
        <v>4.25</v>
      </c>
      <c r="Y452" s="1" t="str">
        <f t="shared" si="60"/>
        <v>Stage II</v>
      </c>
      <c r="Z452" s="10">
        <f t="shared" si="53"/>
        <v>82523.55</v>
      </c>
    </row>
    <row r="453" spans="1:26">
      <c r="A453" s="1" t="s">
        <v>328</v>
      </c>
      <c r="B453" s="1">
        <v>89</v>
      </c>
      <c r="C453" s="1" t="s">
        <v>542</v>
      </c>
      <c r="D453" s="1" t="str">
        <f>PROPER(Table3[[#This Row],[Gender]])</f>
        <v>Male</v>
      </c>
      <c r="E453" s="1" t="s">
        <v>552</v>
      </c>
      <c r="F453" s="1" t="str">
        <f>PROPER(Table3[[#This Row],[Country_Region]])</f>
        <v>China</v>
      </c>
      <c r="G453" s="1">
        <v>2024</v>
      </c>
      <c r="H453" s="1">
        <v>1.7</v>
      </c>
      <c r="I453" s="1">
        <f>IF(H453="", AVERAGEIF('CLEANED DATASET'!$G$2:$G$532,G453,'CLEANED DATASET'!$H320),H453)</f>
        <v>1.7</v>
      </c>
      <c r="J453" s="1">
        <v>8.8000000000000007</v>
      </c>
      <c r="K453" s="1">
        <f t="shared" si="55"/>
        <v>8.8000000000000007</v>
      </c>
      <c r="L453" s="1">
        <v>0.5</v>
      </c>
      <c r="M453" s="1">
        <f t="shared" si="56"/>
        <v>0.5</v>
      </c>
      <c r="N453" s="1">
        <v>6.1</v>
      </c>
      <c r="O453" s="1">
        <f t="shared" si="57"/>
        <v>6.1</v>
      </c>
      <c r="P453" s="1">
        <v>5</v>
      </c>
      <c r="Q453" s="1">
        <f t="shared" si="58"/>
        <v>5</v>
      </c>
      <c r="R453" s="1" t="s">
        <v>576</v>
      </c>
      <c r="S453" s="1" t="str">
        <f>PROPER(Table3[[#This Row],[Cancer_Type]])</f>
        <v>Cervical</v>
      </c>
      <c r="T453" s="1" t="s">
        <v>590</v>
      </c>
      <c r="U453" s="4">
        <v>52059.519999999997</v>
      </c>
      <c r="V453" s="1">
        <v>3</v>
      </c>
      <c r="W453" s="1">
        <f t="shared" ca="1" si="59"/>
        <v>5</v>
      </c>
      <c r="X453" s="1">
        <v>4.41</v>
      </c>
      <c r="Y453" s="1" t="str">
        <f t="shared" si="60"/>
        <v>Stage II</v>
      </c>
      <c r="Z453" s="10">
        <f t="shared" si="53"/>
        <v>52059.519999999997</v>
      </c>
    </row>
    <row r="454" spans="1:26">
      <c r="A454" s="1" t="s">
        <v>306</v>
      </c>
      <c r="B454" s="1">
        <v>51</v>
      </c>
      <c r="C454" s="1" t="s">
        <v>543</v>
      </c>
      <c r="D454" s="1" t="str">
        <f>PROPER(Table3[[#This Row],[Gender]])</f>
        <v>Female</v>
      </c>
      <c r="E454" s="1" t="s">
        <v>554</v>
      </c>
      <c r="F454" s="1" t="str">
        <f>PROPER(Table3[[#This Row],[Country_Region]])</f>
        <v>Brazil</v>
      </c>
      <c r="G454" s="1">
        <v>2023</v>
      </c>
      <c r="H454" s="1">
        <v>6.8</v>
      </c>
      <c r="I454" s="1">
        <f>IF(H454="", AVERAGEIF('CLEANED DATASET'!$G$2:$G$532,G454,'CLEANED DATASET'!$H298),H454)</f>
        <v>6.8</v>
      </c>
      <c r="J454" s="1">
        <v>5.3</v>
      </c>
      <c r="K454" s="1">
        <f t="shared" si="55"/>
        <v>5.3</v>
      </c>
      <c r="L454" s="1">
        <v>5.7</v>
      </c>
      <c r="M454" s="1">
        <f t="shared" si="56"/>
        <v>5.7</v>
      </c>
      <c r="N454" s="1">
        <v>0.4</v>
      </c>
      <c r="O454" s="1">
        <f t="shared" si="57"/>
        <v>0.4</v>
      </c>
      <c r="P454" s="1">
        <v>6.9</v>
      </c>
      <c r="Q454" s="1">
        <f t="shared" si="58"/>
        <v>6.9</v>
      </c>
      <c r="R454" s="1" t="s">
        <v>572</v>
      </c>
      <c r="S454" s="1" t="str">
        <f>PROPER(Table3[[#This Row],[Cancer_Type]])</f>
        <v>Leukemia</v>
      </c>
      <c r="T454" s="1" t="s">
        <v>592</v>
      </c>
      <c r="U454" s="4">
        <v>12084.45</v>
      </c>
      <c r="V454" s="1">
        <v>3.3</v>
      </c>
      <c r="W454" s="1">
        <f t="shared" ca="1" si="59"/>
        <v>6</v>
      </c>
      <c r="X454" s="1">
        <v>5.54</v>
      </c>
      <c r="Y454" s="1" t="str">
        <f t="shared" si="60"/>
        <v>Stage II</v>
      </c>
      <c r="Z454" s="10">
        <f t="shared" si="53"/>
        <v>12084.45</v>
      </c>
    </row>
    <row r="455" spans="1:26">
      <c r="A455" s="1" t="s">
        <v>396</v>
      </c>
      <c r="B455" s="1">
        <v>72</v>
      </c>
      <c r="C455" s="1" t="s">
        <v>543</v>
      </c>
      <c r="D455" s="1" t="str">
        <f>PROPER(Table3[[#This Row],[Gender]])</f>
        <v>Female</v>
      </c>
      <c r="E455" s="1" t="s">
        <v>555</v>
      </c>
      <c r="F455" s="1" t="str">
        <f>PROPER(Table3[[#This Row],[Country_Region]])</f>
        <v>Russia</v>
      </c>
      <c r="G455" s="1">
        <v>2024</v>
      </c>
      <c r="H455" s="1">
        <v>9.6</v>
      </c>
      <c r="I455" s="1">
        <f>IF(H455="", AVERAGEIF('CLEANED DATASET'!$G$2:$G$532,G455,'CLEANED DATASET'!$H388),H455)</f>
        <v>9.6</v>
      </c>
      <c r="J455" s="1">
        <v>4</v>
      </c>
      <c r="K455" s="1">
        <f t="shared" si="55"/>
        <v>4</v>
      </c>
      <c r="L455" s="1">
        <v>8.1</v>
      </c>
      <c r="M455" s="1">
        <f t="shared" si="56"/>
        <v>8.1</v>
      </c>
      <c r="N455" s="1">
        <v>5.7</v>
      </c>
      <c r="O455" s="1">
        <f t="shared" si="57"/>
        <v>5.7</v>
      </c>
      <c r="P455" s="1">
        <v>1.1000000000000001</v>
      </c>
      <c r="Q455" s="1">
        <f t="shared" si="58"/>
        <v>1.1000000000000001</v>
      </c>
      <c r="R455" s="1" t="s">
        <v>571</v>
      </c>
      <c r="S455" s="1" t="str">
        <f>PROPER(Table3[[#This Row],[Cancer_Type]])</f>
        <v>Lung</v>
      </c>
      <c r="T455" s="1" t="s">
        <v>591</v>
      </c>
      <c r="U455" s="4">
        <v>21002.49</v>
      </c>
      <c r="V455" s="1">
        <v>4.0999999999999996</v>
      </c>
      <c r="W455" s="1">
        <f t="shared" ca="1" si="59"/>
        <v>3</v>
      </c>
      <c r="X455" s="1">
        <v>6.56</v>
      </c>
      <c r="Y455" s="1" t="str">
        <f t="shared" si="60"/>
        <v>Stage III</v>
      </c>
      <c r="Z455" s="10">
        <f t="shared" si="53"/>
        <v>21002.49</v>
      </c>
    </row>
    <row r="456" spans="1:26">
      <c r="A456" s="1" t="s">
        <v>45</v>
      </c>
      <c r="B456" s="1">
        <v>21</v>
      </c>
      <c r="C456" s="1" t="s">
        <v>543</v>
      </c>
      <c r="D456" s="1" t="str">
        <f>PROPER(Table3[[#This Row],[Gender]])</f>
        <v>Female</v>
      </c>
      <c r="E456" s="1" t="s">
        <v>554</v>
      </c>
      <c r="F456" s="1" t="str">
        <f>PROPER(Table3[[#This Row],[Country_Region]])</f>
        <v>Brazil</v>
      </c>
      <c r="G456" s="1">
        <v>2023</v>
      </c>
      <c r="H456" s="1">
        <v>8.8000000000000007</v>
      </c>
      <c r="I456" s="1">
        <f>IF(H456="", AVERAGEIF('CLEANED DATASET'!$G$2:$G$532,G456,'CLEANED DATASET'!$H37),H456)</f>
        <v>8.8000000000000007</v>
      </c>
      <c r="J456" s="1"/>
      <c r="K456" s="1">
        <f t="shared" si="55"/>
        <v>4.2</v>
      </c>
      <c r="L456" s="1">
        <v>9.9</v>
      </c>
      <c r="M456" s="1">
        <f t="shared" si="56"/>
        <v>9.9</v>
      </c>
      <c r="N456" s="1">
        <v>3.3</v>
      </c>
      <c r="O456" s="1">
        <f t="shared" si="57"/>
        <v>3.3</v>
      </c>
      <c r="P456" s="1">
        <v>4.7</v>
      </c>
      <c r="Q456" s="1">
        <f t="shared" si="58"/>
        <v>4.7</v>
      </c>
      <c r="R456" s="1" t="s">
        <v>571</v>
      </c>
      <c r="S456" s="1" t="str">
        <f>PROPER(Table3[[#This Row],[Cancer_Type]])</f>
        <v>Lung</v>
      </c>
      <c r="T456" s="1" t="s">
        <v>593</v>
      </c>
      <c r="U456" s="4"/>
      <c r="V456" s="1">
        <v>2.2999999999999998</v>
      </c>
      <c r="W456" s="1">
        <f t="shared" ca="1" si="59"/>
        <v>6</v>
      </c>
      <c r="X456" s="1">
        <v>5.62</v>
      </c>
      <c r="Y456" s="1" t="str">
        <f t="shared" si="60"/>
        <v>Stage II</v>
      </c>
      <c r="Z456" s="10">
        <f t="shared" si="53"/>
        <v>47387.43</v>
      </c>
    </row>
    <row r="457" spans="1:26">
      <c r="A457" s="1" t="s">
        <v>110</v>
      </c>
      <c r="B457" s="1">
        <v>49</v>
      </c>
      <c r="C457" s="1" t="s">
        <v>543</v>
      </c>
      <c r="D457" s="1" t="str">
        <f>PROPER(Table3[[#This Row],[Gender]])</f>
        <v>Female</v>
      </c>
      <c r="E457" s="1" t="s">
        <v>549</v>
      </c>
      <c r="F457" s="1" t="str">
        <f>PROPER(Table3[[#This Row],[Country_Region]])</f>
        <v>Australia</v>
      </c>
      <c r="G457" s="1">
        <v>2024</v>
      </c>
      <c r="H457" s="1">
        <v>2.6</v>
      </c>
      <c r="I457" s="1">
        <f>IF(H457="", AVERAGEIF('CLEANED DATASET'!$G$2:$G$532,G457,'CLEANED DATASET'!$H102),H457)</f>
        <v>2.6</v>
      </c>
      <c r="J457" s="1">
        <v>1.9</v>
      </c>
      <c r="K457" s="1">
        <f t="shared" si="55"/>
        <v>1.9</v>
      </c>
      <c r="L457" s="1">
        <v>5.5</v>
      </c>
      <c r="M457" s="1">
        <f t="shared" si="56"/>
        <v>5.5</v>
      </c>
      <c r="N457" s="1">
        <v>4.2</v>
      </c>
      <c r="O457" s="1">
        <f t="shared" si="57"/>
        <v>4.2</v>
      </c>
      <c r="P457" s="1">
        <v>5.3</v>
      </c>
      <c r="Q457" s="1">
        <f t="shared" si="58"/>
        <v>5.3</v>
      </c>
      <c r="R457" s="1" t="s">
        <v>574</v>
      </c>
      <c r="S457" s="1" t="str">
        <f>PROPER(Table3[[#This Row],[Cancer_Type]])</f>
        <v>Colon</v>
      </c>
      <c r="T457" s="1" t="s">
        <v>590</v>
      </c>
      <c r="U457" s="4">
        <v>23347.22</v>
      </c>
      <c r="V457" s="1">
        <v>7.3</v>
      </c>
      <c r="W457" s="1">
        <f t="shared" ca="1" si="59"/>
        <v>5</v>
      </c>
      <c r="X457" s="1">
        <v>4.53</v>
      </c>
      <c r="Y457" s="1" t="str">
        <f t="shared" si="60"/>
        <v>Stage II</v>
      </c>
      <c r="Z457" s="10">
        <f t="shared" ref="Z457:Z520" si="61">IF(U457&lt;&gt;"",U457,ROUND(AVERAGEIF(S457:S987,S457,U457:U987),2))</f>
        <v>23347.22</v>
      </c>
    </row>
    <row r="458" spans="1:26">
      <c r="A458" s="1" t="s">
        <v>345</v>
      </c>
      <c r="B458" s="1">
        <v>60</v>
      </c>
      <c r="C458" s="1" t="s">
        <v>541</v>
      </c>
      <c r="D458" s="1" t="str">
        <f>PROPER(Table3[[#This Row],[Gender]])</f>
        <v>Other</v>
      </c>
      <c r="E458" s="1" t="s">
        <v>560</v>
      </c>
      <c r="F458" s="1" t="str">
        <f>PROPER(Table3[[#This Row],[Country_Region]])</f>
        <v>Usa</v>
      </c>
      <c r="G458" s="1">
        <v>2024</v>
      </c>
      <c r="H458" s="1">
        <v>7.6</v>
      </c>
      <c r="I458" s="1">
        <f>IF(H458="", AVERAGEIF('CLEANED DATASET'!$G$2:$G$532,G458,'CLEANED DATASET'!$H337),H458)</f>
        <v>7.6</v>
      </c>
      <c r="J458" s="1">
        <v>1.6</v>
      </c>
      <c r="K458" s="1">
        <f t="shared" si="55"/>
        <v>1.6</v>
      </c>
      <c r="L458" s="1">
        <v>3.4</v>
      </c>
      <c r="M458" s="1">
        <f t="shared" si="56"/>
        <v>3.4</v>
      </c>
      <c r="N458" s="1">
        <v>4.4000000000000004</v>
      </c>
      <c r="O458" s="1">
        <f t="shared" si="57"/>
        <v>4.4000000000000004</v>
      </c>
      <c r="P458" s="1">
        <v>-99</v>
      </c>
      <c r="Q458" s="3">
        <v>99</v>
      </c>
      <c r="R458" s="1" t="s">
        <v>576</v>
      </c>
      <c r="S458" s="1" t="str">
        <f>PROPER(Table3[[#This Row],[Cancer_Type]])</f>
        <v>Cervical</v>
      </c>
      <c r="T458" s="1" t="s">
        <v>590</v>
      </c>
      <c r="U458" s="4">
        <v>42564.05</v>
      </c>
      <c r="V458" s="1">
        <v>3.4</v>
      </c>
      <c r="W458" s="1">
        <f t="shared" ca="1" si="59"/>
        <v>6</v>
      </c>
      <c r="X458" s="1">
        <v>5.16</v>
      </c>
      <c r="Y458" s="1" t="str">
        <f t="shared" si="60"/>
        <v>Stage II</v>
      </c>
      <c r="Z458" s="10">
        <f t="shared" si="61"/>
        <v>42564.05</v>
      </c>
    </row>
    <row r="459" spans="1:26">
      <c r="A459" s="1" t="s">
        <v>360</v>
      </c>
      <c r="B459" s="1">
        <v>53</v>
      </c>
      <c r="C459" s="1" t="s">
        <v>542</v>
      </c>
      <c r="D459" s="1" t="str">
        <f>PROPER(Table3[[#This Row],[Gender]])</f>
        <v>Male</v>
      </c>
      <c r="E459" s="1" t="s">
        <v>619</v>
      </c>
      <c r="F459" s="1" t="str">
        <f>PROPER(Table3[[#This Row],[Country_Region]])</f>
        <v>Australia</v>
      </c>
      <c r="G459" s="1">
        <v>2024</v>
      </c>
      <c r="H459" s="1">
        <v>3.7</v>
      </c>
      <c r="I459" s="1">
        <f>IF(H459="", AVERAGEIF('CLEANED DATASET'!$G$2:$G$532,G459,'CLEANED DATASET'!$H352),H459)</f>
        <v>3.7</v>
      </c>
      <c r="J459" s="1">
        <v>2.9</v>
      </c>
      <c r="K459" s="1">
        <f t="shared" si="55"/>
        <v>2.9</v>
      </c>
      <c r="L459" s="1">
        <v>3.5</v>
      </c>
      <c r="M459" s="1">
        <f t="shared" si="56"/>
        <v>3.5</v>
      </c>
      <c r="N459" s="1"/>
      <c r="O459" s="3">
        <f t="shared" si="57"/>
        <v>4.4000000000000004</v>
      </c>
      <c r="P459" s="1">
        <v>3.2</v>
      </c>
      <c r="Q459" s="1">
        <f t="shared" ref="Q459:Q490" si="62">IF(P459="",AVERAGEIF(G459:G989,G459,P459:P989),P459)</f>
        <v>3.2</v>
      </c>
      <c r="R459" s="1" t="s">
        <v>572</v>
      </c>
      <c r="S459" s="1" t="str">
        <f>PROPER(Table3[[#This Row],[Cancer_Type]])</f>
        <v>Leukemia</v>
      </c>
      <c r="T459" s="1" t="s">
        <v>593</v>
      </c>
      <c r="U459" s="4">
        <v>37177.339999999997</v>
      </c>
      <c r="V459" s="1">
        <v>8.1999999999999993</v>
      </c>
      <c r="W459" s="1">
        <f t="shared" ca="1" si="59"/>
        <v>2</v>
      </c>
      <c r="X459" s="3">
        <f>ROUND(I459+K459+M459+O459+Q459+(10-V459)/6, 2)</f>
        <v>18</v>
      </c>
      <c r="Y459" s="1" t="str">
        <f t="shared" si="60"/>
        <v>Stage IV</v>
      </c>
      <c r="Z459" s="10">
        <f t="shared" si="61"/>
        <v>37177.339999999997</v>
      </c>
    </row>
    <row r="460" spans="1:26">
      <c r="A460" s="1" t="s">
        <v>31</v>
      </c>
      <c r="B460" s="1">
        <v>55</v>
      </c>
      <c r="C460" s="1" t="s">
        <v>541</v>
      </c>
      <c r="D460" s="1" t="str">
        <f>PROPER(Table3[[#This Row],[Gender]])</f>
        <v>Other</v>
      </c>
      <c r="E460" s="1" t="s">
        <v>552</v>
      </c>
      <c r="F460" s="1" t="str">
        <f>PROPER(Table3[[#This Row],[Country_Region]])</f>
        <v>China</v>
      </c>
      <c r="G460" s="1">
        <v>2022</v>
      </c>
      <c r="H460" s="1">
        <v>4.9000000000000004</v>
      </c>
      <c r="I460" s="1">
        <f>IF(H460="", AVERAGEIF('CLEANED DATASET'!$G$2:$G$532,G460,'CLEANED DATASET'!$H23),H460)</f>
        <v>4.9000000000000004</v>
      </c>
      <c r="J460" s="1"/>
      <c r="K460" s="1">
        <f t="shared" si="55"/>
        <v>5.9</v>
      </c>
      <c r="L460" s="1">
        <v>2.2999999999999998</v>
      </c>
      <c r="M460" s="1">
        <f t="shared" si="56"/>
        <v>2.2999999999999998</v>
      </c>
      <c r="N460" s="1">
        <v>8.5</v>
      </c>
      <c r="O460" s="1">
        <f t="shared" si="57"/>
        <v>8.5</v>
      </c>
      <c r="P460" s="1">
        <v>6.8</v>
      </c>
      <c r="Q460" s="1">
        <f t="shared" si="62"/>
        <v>6.8</v>
      </c>
      <c r="R460" s="1" t="s">
        <v>578</v>
      </c>
      <c r="S460" s="1" t="str">
        <f>PROPER(Table3[[#This Row],[Cancer_Type]])</f>
        <v>Liver</v>
      </c>
      <c r="T460" s="1" t="s">
        <v>592</v>
      </c>
      <c r="U460" s="4">
        <v>36889.919999999998</v>
      </c>
      <c r="V460" s="1">
        <v>1.4</v>
      </c>
      <c r="W460" s="1">
        <f t="shared" ca="1" si="59"/>
        <v>5</v>
      </c>
      <c r="X460" s="1">
        <v>5.97</v>
      </c>
      <c r="Y460" s="1" t="str">
        <f t="shared" si="60"/>
        <v>Stage II</v>
      </c>
      <c r="Z460" s="10">
        <f t="shared" si="61"/>
        <v>36889.919999999998</v>
      </c>
    </row>
    <row r="461" spans="1:26">
      <c r="A461" s="1" t="s">
        <v>115</v>
      </c>
      <c r="B461" s="1">
        <v>85</v>
      </c>
      <c r="C461" s="1" t="s">
        <v>541</v>
      </c>
      <c r="D461" s="1" t="str">
        <f>PROPER(Table3[[#This Row],[Gender]])</f>
        <v>Other</v>
      </c>
      <c r="E461" s="1" t="s">
        <v>551</v>
      </c>
      <c r="F461" s="1" t="str">
        <f>PROPER(Table3[[#This Row],[Country_Region]])</f>
        <v>Germany</v>
      </c>
      <c r="G461" s="1">
        <v>2022</v>
      </c>
      <c r="H461" s="1">
        <v>6.7</v>
      </c>
      <c r="I461" s="1">
        <f>IF(H461="", AVERAGEIF('CLEANED DATASET'!$G$2:$G$532,G461,'CLEANED DATASET'!$H107),H461)</f>
        <v>6.7</v>
      </c>
      <c r="J461" s="1">
        <v>7.7</v>
      </c>
      <c r="K461" s="1">
        <f t="shared" si="55"/>
        <v>7.7</v>
      </c>
      <c r="L461" s="1">
        <v>10</v>
      </c>
      <c r="M461" s="1">
        <f t="shared" si="56"/>
        <v>10</v>
      </c>
      <c r="N461" s="1">
        <v>5.3</v>
      </c>
      <c r="O461" s="1">
        <f t="shared" si="57"/>
        <v>5.3</v>
      </c>
      <c r="P461" s="1">
        <v>5.4</v>
      </c>
      <c r="Q461" s="1">
        <f t="shared" si="62"/>
        <v>5.4</v>
      </c>
      <c r="R461" s="1" t="s">
        <v>573</v>
      </c>
      <c r="S461" s="1" t="str">
        <f>PROPER(Table3[[#This Row],[Cancer_Type]])</f>
        <v>Breast</v>
      </c>
      <c r="T461" s="1" t="s">
        <v>593</v>
      </c>
      <c r="U461" s="4">
        <v>22083.71</v>
      </c>
      <c r="V461" s="1">
        <v>4.2</v>
      </c>
      <c r="W461" s="1">
        <f t="shared" ca="1" si="59"/>
        <v>3</v>
      </c>
      <c r="X461" s="1">
        <v>7.15</v>
      </c>
      <c r="Y461" s="1" t="str">
        <f t="shared" si="60"/>
        <v>Stage III</v>
      </c>
      <c r="Z461" s="10">
        <f t="shared" si="61"/>
        <v>22083.71</v>
      </c>
    </row>
    <row r="462" spans="1:26">
      <c r="A462" s="1" t="s">
        <v>39</v>
      </c>
      <c r="B462" s="1">
        <v>69</v>
      </c>
      <c r="C462" s="1" t="s">
        <v>541</v>
      </c>
      <c r="D462" s="1" t="str">
        <f>PROPER(Table3[[#This Row],[Gender]])</f>
        <v>Other</v>
      </c>
      <c r="E462" s="1" t="s">
        <v>551</v>
      </c>
      <c r="F462" s="1" t="str">
        <f>PROPER(Table3[[#This Row],[Country_Region]])</f>
        <v>Germany</v>
      </c>
      <c r="G462" s="1">
        <v>2024</v>
      </c>
      <c r="H462" s="1">
        <v>8.1999999999999993</v>
      </c>
      <c r="I462" s="1">
        <f>IF(H462="", AVERAGEIF('CLEANED DATASET'!$G$2:$G$532,G462,'CLEANED DATASET'!$H31),H462)</f>
        <v>8.1999999999999993</v>
      </c>
      <c r="J462" s="1">
        <v>3.6</v>
      </c>
      <c r="K462" s="1">
        <f t="shared" si="55"/>
        <v>3.6</v>
      </c>
      <c r="L462" s="1">
        <v>5.3</v>
      </c>
      <c r="M462" s="1">
        <f t="shared" si="56"/>
        <v>5.3</v>
      </c>
      <c r="N462" s="1">
        <v>1.2</v>
      </c>
      <c r="O462" s="1">
        <f t="shared" si="57"/>
        <v>1.2</v>
      </c>
      <c r="P462" s="1">
        <v>9.5</v>
      </c>
      <c r="Q462" s="1">
        <f t="shared" si="62"/>
        <v>9.5</v>
      </c>
      <c r="R462" s="1" t="s">
        <v>575</v>
      </c>
      <c r="S462" s="1" t="str">
        <f>PROPER(Table3[[#This Row],[Cancer_Type]])</f>
        <v>Breast</v>
      </c>
      <c r="T462" s="1" t="s">
        <v>591</v>
      </c>
      <c r="U462" s="4">
        <v>47989.98</v>
      </c>
      <c r="V462" s="1">
        <v>3</v>
      </c>
      <c r="W462" s="1">
        <f t="shared" ca="1" si="59"/>
        <v>5</v>
      </c>
      <c r="X462" s="1">
        <v>5.21</v>
      </c>
      <c r="Y462" s="1" t="str">
        <f t="shared" si="60"/>
        <v>Stage II</v>
      </c>
      <c r="Z462" s="10">
        <f t="shared" si="61"/>
        <v>47989.98</v>
      </c>
    </row>
    <row r="463" spans="1:26">
      <c r="A463" s="1" t="s">
        <v>175</v>
      </c>
      <c r="B463" s="1">
        <v>84</v>
      </c>
      <c r="C463" s="1" t="s">
        <v>541</v>
      </c>
      <c r="D463" s="1" t="str">
        <f>PROPER(Table3[[#This Row],[Gender]])</f>
        <v>Other</v>
      </c>
      <c r="E463" s="1" t="s">
        <v>563</v>
      </c>
      <c r="F463" s="1" t="str">
        <f>PROPER(Table3[[#This Row],[Country_Region]])</f>
        <v>India</v>
      </c>
      <c r="G463" s="1">
        <v>2024</v>
      </c>
      <c r="H463" s="1">
        <v>1.9</v>
      </c>
      <c r="I463" s="1">
        <f>IF(H463="", AVERAGEIF('CLEANED DATASET'!$G$2:$G$532,G463,'CLEANED DATASET'!$H167),H463)</f>
        <v>1.9</v>
      </c>
      <c r="J463" s="1">
        <v>2.2000000000000002</v>
      </c>
      <c r="K463" s="1">
        <f t="shared" si="55"/>
        <v>2.2000000000000002</v>
      </c>
      <c r="L463" s="1">
        <v>4.0999999999999996</v>
      </c>
      <c r="M463" s="1">
        <f t="shared" si="56"/>
        <v>4.0999999999999996</v>
      </c>
      <c r="N463" s="1">
        <v>8.8000000000000007</v>
      </c>
      <c r="O463" s="1">
        <f t="shared" si="57"/>
        <v>8.8000000000000007</v>
      </c>
      <c r="P463" s="1">
        <v>2.2000000000000002</v>
      </c>
      <c r="Q463" s="1">
        <f t="shared" si="62"/>
        <v>2.2000000000000002</v>
      </c>
      <c r="R463" s="1" t="s">
        <v>574</v>
      </c>
      <c r="S463" s="1" t="str">
        <f>PROPER(Table3[[#This Row],[Cancer_Type]])</f>
        <v>Colon</v>
      </c>
      <c r="T463" s="1"/>
      <c r="U463" s="4">
        <v>93655.4</v>
      </c>
      <c r="V463" s="1">
        <v>4.2</v>
      </c>
      <c r="W463" s="1">
        <f t="shared" ca="1" si="59"/>
        <v>7</v>
      </c>
      <c r="X463" s="1">
        <v>3.43</v>
      </c>
      <c r="Y463" s="1" t="str">
        <f t="shared" si="60"/>
        <v>Stage I</v>
      </c>
      <c r="Z463" s="10">
        <f t="shared" si="61"/>
        <v>93655.4</v>
      </c>
    </row>
    <row r="464" spans="1:26">
      <c r="A464" s="1" t="s">
        <v>105</v>
      </c>
      <c r="B464" s="1">
        <v>34</v>
      </c>
      <c r="C464" s="1" t="s">
        <v>542</v>
      </c>
      <c r="D464" s="1" t="str">
        <f>PROPER(Table3[[#This Row],[Gender]])</f>
        <v>Male</v>
      </c>
      <c r="E464" s="1" t="s">
        <v>554</v>
      </c>
      <c r="F464" s="1" t="str">
        <f>PROPER(Table3[[#This Row],[Country_Region]])</f>
        <v>Brazil</v>
      </c>
      <c r="G464" s="1">
        <v>2022</v>
      </c>
      <c r="H464" s="1">
        <v>1.3</v>
      </c>
      <c r="I464" s="1">
        <f>IF(H464="", AVERAGEIF('CLEANED DATASET'!$G$2:$G$532,G464,'CLEANED DATASET'!$H97),H464)</f>
        <v>1.3</v>
      </c>
      <c r="J464" s="1">
        <v>7.8</v>
      </c>
      <c r="K464" s="1">
        <f t="shared" si="55"/>
        <v>7.8</v>
      </c>
      <c r="L464" s="1">
        <v>9.5</v>
      </c>
      <c r="M464" s="1">
        <f t="shared" si="56"/>
        <v>9.5</v>
      </c>
      <c r="N464" s="1">
        <v>0.7</v>
      </c>
      <c r="O464" s="1">
        <f t="shared" si="57"/>
        <v>0.7</v>
      </c>
      <c r="P464" s="1">
        <v>5.2</v>
      </c>
      <c r="Q464" s="1">
        <f t="shared" si="62"/>
        <v>5.2</v>
      </c>
      <c r="R464" s="1" t="s">
        <v>579</v>
      </c>
      <c r="S464" s="1" t="str">
        <f>PROPER(Table3[[#This Row],[Cancer_Type]])</f>
        <v>Prostate</v>
      </c>
      <c r="T464" s="1" t="s">
        <v>594</v>
      </c>
      <c r="U464" s="4">
        <v>53284.52</v>
      </c>
      <c r="V464" s="1">
        <v>4.0999999999999996</v>
      </c>
      <c r="W464" s="1">
        <f t="shared" ca="1" si="59"/>
        <v>5</v>
      </c>
      <c r="X464" s="1">
        <v>4.45</v>
      </c>
      <c r="Y464" s="1" t="str">
        <f t="shared" si="60"/>
        <v>Stage II</v>
      </c>
      <c r="Z464" s="10">
        <f t="shared" si="61"/>
        <v>53284.52</v>
      </c>
    </row>
    <row r="465" spans="1:26">
      <c r="A465" s="1" t="s">
        <v>408</v>
      </c>
      <c r="B465" s="1">
        <v>42</v>
      </c>
      <c r="C465" s="1" t="s">
        <v>542</v>
      </c>
      <c r="D465" s="1" t="str">
        <f>PROPER(Table3[[#This Row],[Gender]])</f>
        <v>Male</v>
      </c>
      <c r="E465" s="1" t="s">
        <v>552</v>
      </c>
      <c r="F465" s="1" t="str">
        <f>PROPER(Table3[[#This Row],[Country_Region]])</f>
        <v>China</v>
      </c>
      <c r="G465" s="1">
        <v>2022</v>
      </c>
      <c r="H465" s="1">
        <v>3.4</v>
      </c>
      <c r="I465" s="1">
        <f>IF(H465="", AVERAGEIF('CLEANED DATASET'!$G$2:$G$532,G465,'CLEANED DATASET'!$H400),H465)</f>
        <v>3.4</v>
      </c>
      <c r="J465" s="1">
        <v>2.2999999999999998</v>
      </c>
      <c r="K465" s="1">
        <f t="shared" si="55"/>
        <v>2.2999999999999998</v>
      </c>
      <c r="L465" s="1"/>
      <c r="M465" s="3">
        <f t="shared" si="56"/>
        <v>4.7111111111111121</v>
      </c>
      <c r="N465" s="1">
        <v>1.5</v>
      </c>
      <c r="O465" s="1">
        <f t="shared" si="57"/>
        <v>1.5</v>
      </c>
      <c r="P465" s="1">
        <v>5.5</v>
      </c>
      <c r="Q465" s="1">
        <f t="shared" si="62"/>
        <v>5.5</v>
      </c>
      <c r="R465" s="1" t="s">
        <v>570</v>
      </c>
      <c r="S465" s="1" t="str">
        <f>PROPER(Table3[[#This Row],[Cancer_Type]])</f>
        <v>Skin</v>
      </c>
      <c r="T465" s="1" t="s">
        <v>594</v>
      </c>
      <c r="U465" s="4">
        <v>33371.19</v>
      </c>
      <c r="V465" s="1">
        <v>9.6999999999999993</v>
      </c>
      <c r="W465" s="1">
        <f t="shared" ca="1" si="59"/>
        <v>6</v>
      </c>
      <c r="X465" s="1">
        <v>4.2</v>
      </c>
      <c r="Y465" s="1" t="str">
        <f t="shared" si="60"/>
        <v>Stage II</v>
      </c>
      <c r="Z465" s="10">
        <f t="shared" si="61"/>
        <v>33371.19</v>
      </c>
    </row>
    <row r="466" spans="1:26">
      <c r="A466" s="1" t="s">
        <v>219</v>
      </c>
      <c r="B466" s="1">
        <v>89</v>
      </c>
      <c r="C466" s="1" t="s">
        <v>542</v>
      </c>
      <c r="D466" s="1" t="str">
        <f>PROPER(Table3[[#This Row],[Gender]])</f>
        <v>Male</v>
      </c>
      <c r="E466" s="1" t="s">
        <v>549</v>
      </c>
      <c r="F466" s="1" t="str">
        <f>PROPER(Table3[[#This Row],[Country_Region]])</f>
        <v>Australia</v>
      </c>
      <c r="G466" s="1">
        <v>2023</v>
      </c>
      <c r="H466" s="1"/>
      <c r="I466" s="3">
        <f ca="1">IF(H466="", AVERAGEIF('CLEANED DATASET'!$G$2:$G$532,G466,'CLEANED DATASET'!$H211),H466)</f>
        <v>5.7971962616822426</v>
      </c>
      <c r="J466" s="1">
        <v>1.7</v>
      </c>
      <c r="K466" s="1">
        <f t="shared" si="55"/>
        <v>1.7</v>
      </c>
      <c r="L466" s="1">
        <v>2</v>
      </c>
      <c r="M466" s="1">
        <f t="shared" si="56"/>
        <v>2</v>
      </c>
      <c r="N466" s="1">
        <v>3.6</v>
      </c>
      <c r="O466" s="1">
        <f t="shared" si="57"/>
        <v>3.6</v>
      </c>
      <c r="P466" s="1">
        <v>2.7</v>
      </c>
      <c r="Q466" s="1">
        <f t="shared" si="62"/>
        <v>2.7</v>
      </c>
      <c r="R466" s="1" t="s">
        <v>576</v>
      </c>
      <c r="S466" s="1" t="str">
        <f>PROPER(Table3[[#This Row],[Cancer_Type]])</f>
        <v>Cervical</v>
      </c>
      <c r="T466" s="1" t="s">
        <v>590</v>
      </c>
      <c r="U466" s="4">
        <v>62316.54</v>
      </c>
      <c r="V466" s="1">
        <v>7.7</v>
      </c>
      <c r="W466" s="1">
        <f t="shared" ca="1" si="59"/>
        <v>6</v>
      </c>
      <c r="X466" s="1">
        <v>4.04</v>
      </c>
      <c r="Y466" s="1" t="str">
        <f t="shared" si="60"/>
        <v>Stage II</v>
      </c>
      <c r="Z466" s="10">
        <f t="shared" si="61"/>
        <v>62316.54</v>
      </c>
    </row>
    <row r="467" spans="1:26">
      <c r="A467" s="1" t="s">
        <v>496</v>
      </c>
      <c r="B467" s="1">
        <v>88</v>
      </c>
      <c r="C467" s="1" t="s">
        <v>547</v>
      </c>
      <c r="D467" s="1" t="str">
        <f>PROPER(Table3[[#This Row],[Gender]])</f>
        <v>Male</v>
      </c>
      <c r="E467" s="1" t="s">
        <v>551</v>
      </c>
      <c r="F467" s="1" t="str">
        <f>PROPER(Table3[[#This Row],[Country_Region]])</f>
        <v>Germany</v>
      </c>
      <c r="G467" s="1">
        <v>2023</v>
      </c>
      <c r="H467" s="1">
        <v>1.8</v>
      </c>
      <c r="I467" s="1">
        <f>IF(H467="", AVERAGEIF('CLEANED DATASET'!$G$2:$G$532,G467,'CLEANED DATASET'!$H488),H467)</f>
        <v>1.8</v>
      </c>
      <c r="J467" s="1">
        <v>7</v>
      </c>
      <c r="K467" s="1">
        <f t="shared" si="55"/>
        <v>7</v>
      </c>
      <c r="L467" s="1">
        <v>5.9</v>
      </c>
      <c r="M467" s="1">
        <f t="shared" si="56"/>
        <v>5.9</v>
      </c>
      <c r="N467" s="1">
        <v>3.1</v>
      </c>
      <c r="O467" s="1">
        <f t="shared" si="57"/>
        <v>3.1</v>
      </c>
      <c r="P467" s="1"/>
      <c r="Q467" s="3">
        <f t="shared" si="62"/>
        <v>4.347999999999999</v>
      </c>
      <c r="R467" s="1" t="s">
        <v>573</v>
      </c>
      <c r="S467" s="1" t="str">
        <f>PROPER(Table3[[#This Row],[Cancer_Type]])</f>
        <v>Breast</v>
      </c>
      <c r="T467" s="1" t="s">
        <v>591</v>
      </c>
      <c r="U467" s="4">
        <v>63957.06</v>
      </c>
      <c r="V467" s="1">
        <v>3.2</v>
      </c>
      <c r="W467" s="1">
        <f t="shared" ca="1" si="59"/>
        <v>6</v>
      </c>
      <c r="X467" s="1">
        <v>4.58</v>
      </c>
      <c r="Y467" s="1" t="str">
        <f t="shared" si="60"/>
        <v>Stage II</v>
      </c>
      <c r="Z467" s="10">
        <f t="shared" si="61"/>
        <v>63957.06</v>
      </c>
    </row>
    <row r="468" spans="1:26">
      <c r="A468" s="1" t="s">
        <v>391</v>
      </c>
      <c r="B468" s="1">
        <v>39</v>
      </c>
      <c r="C468" s="1" t="s">
        <v>542</v>
      </c>
      <c r="D468" s="1" t="str">
        <f>PROPER(Table3[[#This Row],[Gender]])</f>
        <v>Male</v>
      </c>
      <c r="E468" s="1" t="s">
        <v>552</v>
      </c>
      <c r="F468" s="1" t="str">
        <f>PROPER(Table3[[#This Row],[Country_Region]])</f>
        <v>China</v>
      </c>
      <c r="G468" s="1">
        <v>2024</v>
      </c>
      <c r="H468" s="1">
        <v>7.4</v>
      </c>
      <c r="I468" s="1">
        <f>IF(H468="", AVERAGEIF('CLEANED DATASET'!$G$2:$G$532,G468,'CLEANED DATASET'!$H383),H468)</f>
        <v>7.4</v>
      </c>
      <c r="J468" s="1">
        <v>3.3</v>
      </c>
      <c r="K468" s="1">
        <f t="shared" si="55"/>
        <v>3.3</v>
      </c>
      <c r="L468" s="1">
        <v>7.7</v>
      </c>
      <c r="M468" s="1">
        <f t="shared" si="56"/>
        <v>7.7</v>
      </c>
      <c r="N468" s="1">
        <v>3</v>
      </c>
      <c r="O468" s="1">
        <f t="shared" si="57"/>
        <v>3</v>
      </c>
      <c r="P468" s="1">
        <v>7.4</v>
      </c>
      <c r="Q468" s="1">
        <f t="shared" si="62"/>
        <v>7.4</v>
      </c>
      <c r="R468" s="1" t="s">
        <v>586</v>
      </c>
      <c r="S468" s="1" t="str">
        <f>PROPER(Table3[[#This Row],[Cancer_Type]])</f>
        <v>Prostate</v>
      </c>
      <c r="T468" s="1" t="s">
        <v>594</v>
      </c>
      <c r="U468" s="4">
        <v>83507.360000000001</v>
      </c>
      <c r="V468" s="1">
        <v>6.2</v>
      </c>
      <c r="W468" s="1">
        <f t="shared" ca="1" si="59"/>
        <v>5</v>
      </c>
      <c r="X468" s="1">
        <v>4.8</v>
      </c>
      <c r="Y468" s="1" t="str">
        <f t="shared" si="60"/>
        <v>Stage II</v>
      </c>
      <c r="Z468" s="10">
        <f t="shared" si="61"/>
        <v>83507.360000000001</v>
      </c>
    </row>
    <row r="469" spans="1:26">
      <c r="A469" s="1" t="s">
        <v>62</v>
      </c>
      <c r="B469" s="1">
        <v>77</v>
      </c>
      <c r="C469" s="1" t="s">
        <v>543</v>
      </c>
      <c r="D469" s="1" t="str">
        <f>PROPER(Table3[[#This Row],[Gender]])</f>
        <v>Female</v>
      </c>
      <c r="E469" s="1" t="s">
        <v>555</v>
      </c>
      <c r="F469" s="1" t="str">
        <f>PROPER(Table3[[#This Row],[Country_Region]])</f>
        <v>Russia</v>
      </c>
      <c r="G469" s="1">
        <v>2023</v>
      </c>
      <c r="H469" s="1">
        <v>3.4</v>
      </c>
      <c r="I469" s="1">
        <f>IF(H469="", AVERAGEIF('CLEANED DATASET'!$G$2:$G$532,G469,'CLEANED DATASET'!$H54),H469)</f>
        <v>3.4</v>
      </c>
      <c r="J469" s="1"/>
      <c r="K469" s="1">
        <f t="shared" si="55"/>
        <v>4.4000000000000004</v>
      </c>
      <c r="L469" s="1">
        <v>1.2</v>
      </c>
      <c r="M469" s="1">
        <f t="shared" si="56"/>
        <v>1.2</v>
      </c>
      <c r="N469" s="1">
        <v>6.9</v>
      </c>
      <c r="O469" s="1">
        <f t="shared" si="57"/>
        <v>6.9</v>
      </c>
      <c r="P469" s="1">
        <v>1.8</v>
      </c>
      <c r="Q469" s="1">
        <f t="shared" si="62"/>
        <v>1.8</v>
      </c>
      <c r="R469" s="1" t="s">
        <v>571</v>
      </c>
      <c r="S469" s="1" t="str">
        <f>PROPER(Table3[[#This Row],[Cancer_Type]])</f>
        <v>Lung</v>
      </c>
      <c r="T469" s="1" t="s">
        <v>590</v>
      </c>
      <c r="U469" s="4">
        <v>55792.04</v>
      </c>
      <c r="V469" s="1">
        <v>3.5</v>
      </c>
      <c r="W469" s="1">
        <f t="shared" ca="1" si="59"/>
        <v>6</v>
      </c>
      <c r="X469" s="1">
        <v>4.3499999999999996</v>
      </c>
      <c r="Y469" s="1" t="str">
        <f t="shared" si="60"/>
        <v>Stage II</v>
      </c>
      <c r="Z469" s="10">
        <f t="shared" si="61"/>
        <v>55792.04</v>
      </c>
    </row>
    <row r="470" spans="1:26">
      <c r="A470" s="1" t="s">
        <v>411</v>
      </c>
      <c r="B470" s="1">
        <v>23</v>
      </c>
      <c r="C470" s="1" t="s">
        <v>543</v>
      </c>
      <c r="D470" s="1" t="str">
        <f>PROPER(Table3[[#This Row],[Gender]])</f>
        <v>Female</v>
      </c>
      <c r="E470" s="1" t="s">
        <v>551</v>
      </c>
      <c r="F470" s="1" t="str">
        <f>PROPER(Table3[[#This Row],[Country_Region]])</f>
        <v>Germany</v>
      </c>
      <c r="G470" s="1">
        <v>2023</v>
      </c>
      <c r="H470" s="1">
        <v>7.8</v>
      </c>
      <c r="I470" s="1">
        <f>IF(H470="", AVERAGEIF('CLEANED DATASET'!$G$2:$G$532,G470,'CLEANED DATASET'!$H403),H470)</f>
        <v>7.8</v>
      </c>
      <c r="J470" s="1">
        <v>6.7</v>
      </c>
      <c r="K470" s="1">
        <f t="shared" si="55"/>
        <v>6.7</v>
      </c>
      <c r="L470" s="1">
        <v>3.8</v>
      </c>
      <c r="M470" s="1">
        <f t="shared" si="56"/>
        <v>3.8</v>
      </c>
      <c r="N470" s="1">
        <v>6.6</v>
      </c>
      <c r="O470" s="1">
        <f t="shared" si="57"/>
        <v>6.6</v>
      </c>
      <c r="P470" s="1">
        <v>0.4</v>
      </c>
      <c r="Q470" s="1">
        <f t="shared" si="62"/>
        <v>0.4</v>
      </c>
      <c r="R470" s="1" t="s">
        <v>579</v>
      </c>
      <c r="S470" s="1" t="str">
        <f>PROPER(Table3[[#This Row],[Cancer_Type]])</f>
        <v>Prostate</v>
      </c>
      <c r="T470" s="1" t="s">
        <v>593</v>
      </c>
      <c r="U470" s="4">
        <v>26660.17</v>
      </c>
      <c r="V470" s="1">
        <v>7.1</v>
      </c>
      <c r="W470" s="1">
        <f t="shared" ca="1" si="59"/>
        <v>6</v>
      </c>
      <c r="X470" s="1">
        <v>5.96</v>
      </c>
      <c r="Y470" s="1" t="str">
        <f t="shared" si="60"/>
        <v>Stage II</v>
      </c>
      <c r="Z470" s="10">
        <f t="shared" si="61"/>
        <v>26660.17</v>
      </c>
    </row>
    <row r="471" spans="1:26">
      <c r="A471" s="1" t="s">
        <v>301</v>
      </c>
      <c r="B471" s="1">
        <v>70</v>
      </c>
      <c r="C471" s="1" t="s">
        <v>541</v>
      </c>
      <c r="D471" s="1" t="str">
        <f>PROPER(Table3[[#This Row],[Gender]])</f>
        <v>Other</v>
      </c>
      <c r="E471" s="1" t="s">
        <v>550</v>
      </c>
      <c r="F471" s="1" t="str">
        <f>PROPER(Table3[[#This Row],[Country_Region]])</f>
        <v>Pakistan</v>
      </c>
      <c r="G471" s="1">
        <v>2023</v>
      </c>
      <c r="H471" s="1">
        <v>8.4</v>
      </c>
      <c r="I471" s="1">
        <f>IF(H471="", AVERAGEIF('CLEANED DATASET'!$G$2:$G$532,G471,'CLEANED DATASET'!$H293),H471)</f>
        <v>8.4</v>
      </c>
      <c r="J471" s="1"/>
      <c r="K471" s="1">
        <f t="shared" si="55"/>
        <v>4.4000000000000004</v>
      </c>
      <c r="L471" s="1">
        <v>2.2999999999999998</v>
      </c>
      <c r="M471" s="1">
        <f t="shared" si="56"/>
        <v>2.2999999999999998</v>
      </c>
      <c r="N471" s="1">
        <v>3.8</v>
      </c>
      <c r="O471" s="1">
        <f t="shared" si="57"/>
        <v>3.8</v>
      </c>
      <c r="P471" s="1">
        <v>9</v>
      </c>
      <c r="Q471" s="1">
        <f t="shared" si="62"/>
        <v>9</v>
      </c>
      <c r="R471" s="1" t="s">
        <v>571</v>
      </c>
      <c r="S471" s="1" t="str">
        <f>PROPER(Table3[[#This Row],[Cancer_Type]])</f>
        <v>Lung</v>
      </c>
      <c r="T471" s="1" t="s">
        <v>594</v>
      </c>
      <c r="U471" s="4">
        <v>17817.36</v>
      </c>
      <c r="V471" s="1">
        <v>9.9</v>
      </c>
      <c r="W471" s="1">
        <f t="shared" ca="1" si="59"/>
        <v>5</v>
      </c>
      <c r="X471" s="1">
        <v>5.43</v>
      </c>
      <c r="Y471" s="1" t="str">
        <f t="shared" si="60"/>
        <v>Stage II</v>
      </c>
      <c r="Z471" s="10">
        <f t="shared" si="61"/>
        <v>17817.36</v>
      </c>
    </row>
    <row r="472" spans="1:26">
      <c r="A472" s="1" t="s">
        <v>230</v>
      </c>
      <c r="B472" s="1">
        <v>70</v>
      </c>
      <c r="C472" s="1" t="s">
        <v>543</v>
      </c>
      <c r="D472" s="1" t="str">
        <f>PROPER(Table3[[#This Row],[Gender]])</f>
        <v>Female</v>
      </c>
      <c r="E472" s="1" t="s">
        <v>551</v>
      </c>
      <c r="F472" s="1" t="str">
        <f>PROPER(Table3[[#This Row],[Country_Region]])</f>
        <v>Germany</v>
      </c>
      <c r="G472" s="1">
        <v>2023</v>
      </c>
      <c r="H472" s="1">
        <v>9.5</v>
      </c>
      <c r="I472" s="1">
        <f>IF(H472="", AVERAGEIF('CLEANED DATASET'!$G$2:$G$532,G472,'CLEANED DATASET'!$H222),H472)</f>
        <v>9.5</v>
      </c>
      <c r="J472" s="1">
        <v>4.3</v>
      </c>
      <c r="K472" s="1">
        <f t="shared" si="55"/>
        <v>4.3</v>
      </c>
      <c r="L472" s="1">
        <v>0.8</v>
      </c>
      <c r="M472" s="1">
        <f t="shared" si="56"/>
        <v>0.8</v>
      </c>
      <c r="N472" s="1">
        <v>7.5</v>
      </c>
      <c r="O472" s="1">
        <f t="shared" si="57"/>
        <v>7.5</v>
      </c>
      <c r="P472" s="1">
        <v>0.2</v>
      </c>
      <c r="Q472" s="1">
        <f t="shared" si="62"/>
        <v>0.2</v>
      </c>
      <c r="R472" s="1" t="s">
        <v>572</v>
      </c>
      <c r="S472" s="1" t="str">
        <f>PROPER(Table3[[#This Row],[Cancer_Type]])</f>
        <v>Leukemia</v>
      </c>
      <c r="T472" s="1" t="s">
        <v>590</v>
      </c>
      <c r="U472" s="4">
        <v>71931.69</v>
      </c>
      <c r="V472" s="1">
        <v>4.7</v>
      </c>
      <c r="W472" s="1">
        <f t="shared" ca="1" si="59"/>
        <v>5</v>
      </c>
      <c r="X472" s="1">
        <v>4.75</v>
      </c>
      <c r="Y472" s="1" t="str">
        <f t="shared" si="60"/>
        <v>Stage II</v>
      </c>
      <c r="Z472" s="10">
        <f t="shared" si="61"/>
        <v>71931.69</v>
      </c>
    </row>
    <row r="473" spans="1:26">
      <c r="A473" s="1" t="s">
        <v>528</v>
      </c>
      <c r="B473" s="1">
        <v>68</v>
      </c>
      <c r="C473" s="1" t="s">
        <v>542</v>
      </c>
      <c r="D473" s="1" t="str">
        <f>PROPER(Table3[[#This Row],[Gender]])</f>
        <v>Male</v>
      </c>
      <c r="E473" s="1" t="s">
        <v>552</v>
      </c>
      <c r="F473" s="1" t="str">
        <f>PROPER(Table3[[#This Row],[Country_Region]])</f>
        <v>China</v>
      </c>
      <c r="G473" s="1">
        <v>2023</v>
      </c>
      <c r="H473" s="1">
        <v>6.9</v>
      </c>
      <c r="I473" s="1">
        <f>IF(H473="", AVERAGEIF('CLEANED DATASET'!$G$2:$G$532,G473,'CLEANED DATASET'!$H520),H473)</f>
        <v>6.9</v>
      </c>
      <c r="J473" s="1">
        <v>4.9000000000000004</v>
      </c>
      <c r="K473" s="1">
        <f t="shared" si="55"/>
        <v>4.9000000000000004</v>
      </c>
      <c r="L473" s="1">
        <v>4</v>
      </c>
      <c r="M473" s="1">
        <f t="shared" si="56"/>
        <v>4</v>
      </c>
      <c r="N473" s="1">
        <v>0.7</v>
      </c>
      <c r="O473" s="1">
        <f t="shared" si="57"/>
        <v>0.7</v>
      </c>
      <c r="P473" s="1">
        <v>2</v>
      </c>
      <c r="Q473" s="1">
        <f t="shared" si="62"/>
        <v>2</v>
      </c>
      <c r="R473" s="1" t="s">
        <v>578</v>
      </c>
      <c r="S473" s="1" t="str">
        <f>PROPER(Table3[[#This Row],[Cancer_Type]])</f>
        <v>Liver</v>
      </c>
      <c r="T473" s="1" t="s">
        <v>591</v>
      </c>
      <c r="U473" s="4">
        <v>47740.04</v>
      </c>
      <c r="V473" s="1">
        <v>0.4</v>
      </c>
      <c r="W473" s="1">
        <f t="shared" ca="1" si="59"/>
        <v>6</v>
      </c>
      <c r="X473" s="1">
        <v>4.0999999999999996</v>
      </c>
      <c r="Y473" s="1" t="str">
        <f t="shared" si="60"/>
        <v>Stage II</v>
      </c>
      <c r="Z473" s="10">
        <f t="shared" si="61"/>
        <v>47740.04</v>
      </c>
    </row>
    <row r="474" spans="1:26">
      <c r="A474" s="1" t="s">
        <v>231</v>
      </c>
      <c r="B474" s="1">
        <v>66</v>
      </c>
      <c r="C474" s="1" t="s">
        <v>541</v>
      </c>
      <c r="D474" s="1" t="str">
        <f>PROPER(Table3[[#This Row],[Gender]])</f>
        <v>Other</v>
      </c>
      <c r="E474" s="1" t="s">
        <v>556</v>
      </c>
      <c r="F474" s="1" t="str">
        <f>PROPER(Table3[[#This Row],[Country_Region]])</f>
        <v>India</v>
      </c>
      <c r="G474" s="1">
        <v>2022</v>
      </c>
      <c r="H474" s="1">
        <v>0.9</v>
      </c>
      <c r="I474" s="1">
        <f>IF(H474="", AVERAGEIF('CLEANED DATASET'!$G$2:$G$532,G474,'CLEANED DATASET'!$H223),H474)</f>
        <v>0.9</v>
      </c>
      <c r="J474" s="1">
        <v>0.9</v>
      </c>
      <c r="K474" s="1">
        <f t="shared" si="55"/>
        <v>0.9</v>
      </c>
      <c r="L474" s="1">
        <v>7.1</v>
      </c>
      <c r="M474" s="1">
        <f t="shared" si="56"/>
        <v>7.1</v>
      </c>
      <c r="N474" s="1">
        <v>4.3</v>
      </c>
      <c r="O474" s="1">
        <f t="shared" si="57"/>
        <v>4.3</v>
      </c>
      <c r="P474" s="1">
        <v>5.5</v>
      </c>
      <c r="Q474" s="1">
        <f t="shared" si="62"/>
        <v>5.5</v>
      </c>
      <c r="R474" s="1" t="s">
        <v>574</v>
      </c>
      <c r="S474" s="1" t="str">
        <f>PROPER(Table3[[#This Row],[Cancer_Type]])</f>
        <v>Colon</v>
      </c>
      <c r="T474" s="1" t="s">
        <v>590</v>
      </c>
      <c r="U474" s="4">
        <v>33999.69</v>
      </c>
      <c r="V474" s="1">
        <v>2.4</v>
      </c>
      <c r="W474" s="1">
        <f t="shared" ca="1" si="59"/>
        <v>6</v>
      </c>
      <c r="X474" s="1">
        <v>4.1100000000000003</v>
      </c>
      <c r="Y474" s="1" t="str">
        <f t="shared" si="60"/>
        <v>Stage II</v>
      </c>
      <c r="Z474" s="10">
        <f t="shared" si="61"/>
        <v>33999.69</v>
      </c>
    </row>
    <row r="475" spans="1:26">
      <c r="A475" s="1" t="s">
        <v>145</v>
      </c>
      <c r="B475" s="1">
        <v>33</v>
      </c>
      <c r="C475" s="1" t="s">
        <v>542</v>
      </c>
      <c r="D475" s="1" t="str">
        <f>PROPER(Table3[[#This Row],[Gender]])</f>
        <v>Male</v>
      </c>
      <c r="E475" s="1" t="s">
        <v>550</v>
      </c>
      <c r="F475" s="1" t="str">
        <f>PROPER(Table3[[#This Row],[Country_Region]])</f>
        <v>Pakistan</v>
      </c>
      <c r="G475" s="1">
        <v>2023</v>
      </c>
      <c r="H475" s="1">
        <v>3.2</v>
      </c>
      <c r="I475" s="1">
        <f>IF(H475="", AVERAGEIF('CLEANED DATASET'!$G$2:$G$532,G475,'CLEANED DATASET'!$H137),H475)</f>
        <v>3.2</v>
      </c>
      <c r="J475" s="1">
        <v>4.5</v>
      </c>
      <c r="K475" s="1">
        <f t="shared" si="55"/>
        <v>4.5</v>
      </c>
      <c r="L475" s="1">
        <v>9.8000000000000007</v>
      </c>
      <c r="M475" s="1">
        <f t="shared" si="56"/>
        <v>9.8000000000000007</v>
      </c>
      <c r="N475" s="1">
        <v>8.1999999999999993</v>
      </c>
      <c r="O475" s="1">
        <f t="shared" si="57"/>
        <v>8.1999999999999993</v>
      </c>
      <c r="P475" s="1">
        <v>3.5</v>
      </c>
      <c r="Q475" s="1">
        <f t="shared" si="62"/>
        <v>3.5</v>
      </c>
      <c r="R475" s="1" t="s">
        <v>571</v>
      </c>
      <c r="S475" s="1" t="str">
        <f>PROPER(Table3[[#This Row],[Cancer_Type]])</f>
        <v>Lung</v>
      </c>
      <c r="T475" s="1" t="s">
        <v>592</v>
      </c>
      <c r="U475" s="4">
        <v>73055.460000000006</v>
      </c>
      <c r="V475" s="1">
        <v>4.4000000000000004</v>
      </c>
      <c r="W475" s="1">
        <f t="shared" ca="1" si="59"/>
        <v>6</v>
      </c>
      <c r="X475" s="1">
        <v>5.31</v>
      </c>
      <c r="Y475" s="1" t="str">
        <f t="shared" si="60"/>
        <v>Stage II</v>
      </c>
      <c r="Z475" s="10">
        <f t="shared" si="61"/>
        <v>73055.460000000006</v>
      </c>
    </row>
    <row r="476" spans="1:26">
      <c r="A476" s="1" t="s">
        <v>83</v>
      </c>
      <c r="B476" s="1">
        <v>81</v>
      </c>
      <c r="C476" s="1" t="s">
        <v>609</v>
      </c>
      <c r="D476" s="1" t="str">
        <f>PROPER(Table3[[#This Row],[Gender]])</f>
        <v>Female</v>
      </c>
      <c r="E476" s="1" t="s">
        <v>553</v>
      </c>
      <c r="F476" s="1" t="str">
        <f>PROPER(Table3[[#This Row],[Country_Region]])</f>
        <v>Canada</v>
      </c>
      <c r="G476" s="1">
        <v>2024</v>
      </c>
      <c r="H476" s="1">
        <v>6.1</v>
      </c>
      <c r="I476" s="1">
        <f>IF(H476="", AVERAGEIF('CLEANED DATASET'!$G$2:$G$532,G476,'CLEANED DATASET'!$H75),H476)</f>
        <v>6.1</v>
      </c>
      <c r="J476" s="1">
        <v>5.7</v>
      </c>
      <c r="K476" s="1">
        <f t="shared" si="55"/>
        <v>5.7</v>
      </c>
      <c r="L476" s="1">
        <v>3.2</v>
      </c>
      <c r="M476" s="1">
        <f t="shared" si="56"/>
        <v>3.2</v>
      </c>
      <c r="N476" s="1"/>
      <c r="O476" s="3">
        <f t="shared" si="57"/>
        <v>4.4117647058823533</v>
      </c>
      <c r="P476" s="1">
        <v>4.4000000000000004</v>
      </c>
      <c r="Q476" s="1">
        <f t="shared" si="62"/>
        <v>4.4000000000000004</v>
      </c>
      <c r="R476" s="1" t="s">
        <v>574</v>
      </c>
      <c r="S476" s="1" t="str">
        <f>PROPER(Table3[[#This Row],[Cancer_Type]])</f>
        <v>Colon</v>
      </c>
      <c r="T476" s="1" t="s">
        <v>593</v>
      </c>
      <c r="U476" s="4">
        <v>77573.67</v>
      </c>
      <c r="V476" s="1">
        <v>8.9</v>
      </c>
      <c r="W476" s="1">
        <f t="shared" ca="1" si="59"/>
        <v>5</v>
      </c>
      <c r="X476" s="1">
        <v>4.04</v>
      </c>
      <c r="Y476" s="1" t="str">
        <f t="shared" si="60"/>
        <v>Stage II</v>
      </c>
      <c r="Z476" s="10">
        <f t="shared" si="61"/>
        <v>77573.67</v>
      </c>
    </row>
    <row r="477" spans="1:26">
      <c r="A477" s="1" t="s">
        <v>57</v>
      </c>
      <c r="B477" s="1">
        <v>57</v>
      </c>
      <c r="C477" s="1" t="s">
        <v>609</v>
      </c>
      <c r="D477" s="1" t="str">
        <f>PROPER(Table3[[#This Row],[Gender]])</f>
        <v>Female</v>
      </c>
      <c r="E477" s="1" t="s">
        <v>548</v>
      </c>
      <c r="F477" s="1" t="str">
        <f>PROPER(Table3[[#This Row],[Country_Region]])</f>
        <v>Uk</v>
      </c>
      <c r="G477" s="1">
        <v>2023</v>
      </c>
      <c r="H477" s="1">
        <v>7.1</v>
      </c>
      <c r="I477" s="1">
        <f>IF(H477="", AVERAGEIF('CLEANED DATASET'!$G$2:$G$532,G477,'CLEANED DATASET'!$H49),H477)</f>
        <v>7.1</v>
      </c>
      <c r="J477" s="1">
        <v>9.3000000000000007</v>
      </c>
      <c r="K477" s="1">
        <f t="shared" si="55"/>
        <v>9.3000000000000007</v>
      </c>
      <c r="L477" s="1">
        <v>1.2</v>
      </c>
      <c r="M477" s="1">
        <f t="shared" si="56"/>
        <v>1.2</v>
      </c>
      <c r="N477" s="1">
        <v>5.3</v>
      </c>
      <c r="O477" s="1">
        <f t="shared" si="57"/>
        <v>5.3</v>
      </c>
      <c r="P477" s="1">
        <v>8.5</v>
      </c>
      <c r="Q477" s="1">
        <f t="shared" si="62"/>
        <v>8.5</v>
      </c>
      <c r="R477" s="1" t="s">
        <v>578</v>
      </c>
      <c r="S477" s="1" t="str">
        <f>PROPER(Table3[[#This Row],[Cancer_Type]])</f>
        <v>Liver</v>
      </c>
      <c r="T477" s="1" t="s">
        <v>592</v>
      </c>
      <c r="U477" s="4">
        <v>11839.59</v>
      </c>
      <c r="V477" s="1">
        <v>6.9</v>
      </c>
      <c r="W477" s="1">
        <f t="shared" ca="1" si="59"/>
        <v>4</v>
      </c>
      <c r="X477" s="1">
        <v>6.67</v>
      </c>
      <c r="Y477" s="1" t="str">
        <f t="shared" si="60"/>
        <v>Stage III</v>
      </c>
      <c r="Z477" s="10">
        <f t="shared" si="61"/>
        <v>11839.59</v>
      </c>
    </row>
    <row r="478" spans="1:26">
      <c r="A478" s="1" t="s">
        <v>146</v>
      </c>
      <c r="B478" s="1">
        <v>78</v>
      </c>
      <c r="C478" s="1" t="s">
        <v>541</v>
      </c>
      <c r="D478" s="1" t="str">
        <f>PROPER(Table3[[#This Row],[Gender]])</f>
        <v>Other</v>
      </c>
      <c r="E478" s="1" t="s">
        <v>556</v>
      </c>
      <c r="F478" s="1" t="str">
        <f>PROPER(Table3[[#This Row],[Country_Region]])</f>
        <v>India</v>
      </c>
      <c r="G478" s="1">
        <v>2023</v>
      </c>
      <c r="H478" s="1">
        <v>7.6</v>
      </c>
      <c r="I478" s="1">
        <f>IF(H478="", AVERAGEIF('CLEANED DATASET'!$G$2:$G$532,G478,'CLEANED DATASET'!$H138),H478)</f>
        <v>7.6</v>
      </c>
      <c r="J478" s="1">
        <v>8.5</v>
      </c>
      <c r="K478" s="1">
        <f t="shared" si="55"/>
        <v>8.5</v>
      </c>
      <c r="L478" s="1">
        <v>1.9</v>
      </c>
      <c r="M478" s="1">
        <f t="shared" si="56"/>
        <v>1.9</v>
      </c>
      <c r="N478" s="1">
        <v>9.6</v>
      </c>
      <c r="O478" s="1">
        <f t="shared" si="57"/>
        <v>9.6</v>
      </c>
      <c r="P478" s="1">
        <v>3</v>
      </c>
      <c r="Q478" s="1">
        <f t="shared" si="62"/>
        <v>3</v>
      </c>
      <c r="R478" s="1" t="s">
        <v>578</v>
      </c>
      <c r="S478" s="1" t="str">
        <f>PROPER(Table3[[#This Row],[Cancer_Type]])</f>
        <v>Liver</v>
      </c>
      <c r="T478" s="1" t="s">
        <v>594</v>
      </c>
      <c r="U478" s="4">
        <v>58819.89</v>
      </c>
      <c r="V478" s="1">
        <v>9.1</v>
      </c>
      <c r="W478" s="1">
        <f t="shared" ca="1" si="59"/>
        <v>4</v>
      </c>
      <c r="X478" s="1">
        <v>6.12</v>
      </c>
      <c r="Y478" s="1" t="str">
        <f t="shared" si="60"/>
        <v>Stage III</v>
      </c>
      <c r="Z478" s="10">
        <f t="shared" si="61"/>
        <v>58819.89</v>
      </c>
    </row>
    <row r="479" spans="1:26">
      <c r="A479" s="1" t="s">
        <v>107</v>
      </c>
      <c r="B479" s="1">
        <v>64</v>
      </c>
      <c r="C479" s="1" t="s">
        <v>546</v>
      </c>
      <c r="D479" s="1" t="str">
        <f>PROPER(Table3[[#This Row],[Gender]])</f>
        <v>Unknown</v>
      </c>
      <c r="E479" s="1" t="s">
        <v>548</v>
      </c>
      <c r="F479" s="1" t="str">
        <f>PROPER(Table3[[#This Row],[Country_Region]])</f>
        <v>Uk</v>
      </c>
      <c r="G479" s="1">
        <v>2023</v>
      </c>
      <c r="H479" s="1">
        <v>8</v>
      </c>
      <c r="I479" s="1">
        <f>IF(H479="", AVERAGEIF('CLEANED DATASET'!$G$2:$G$532,G479,'CLEANED DATASET'!$H99),H479)</f>
        <v>8</v>
      </c>
      <c r="J479" s="1">
        <v>9.4</v>
      </c>
      <c r="K479" s="1">
        <f t="shared" si="55"/>
        <v>9.4</v>
      </c>
      <c r="L479" s="1">
        <v>3.1</v>
      </c>
      <c r="M479" s="1">
        <f t="shared" si="56"/>
        <v>3.1</v>
      </c>
      <c r="N479" s="1">
        <v>2.6</v>
      </c>
      <c r="O479" s="1">
        <f t="shared" si="57"/>
        <v>2.6</v>
      </c>
      <c r="P479" s="1">
        <v>8.6999999999999993</v>
      </c>
      <c r="Q479" s="1">
        <f t="shared" si="62"/>
        <v>8.6999999999999993</v>
      </c>
      <c r="R479" s="1" t="s">
        <v>574</v>
      </c>
      <c r="S479" s="1" t="str">
        <f>PROPER(Table3[[#This Row],[Cancer_Type]])</f>
        <v>Colon</v>
      </c>
      <c r="T479" s="1" t="s">
        <v>590</v>
      </c>
      <c r="U479" s="4">
        <v>53556.06</v>
      </c>
      <c r="V479" s="1">
        <v>1.8</v>
      </c>
      <c r="W479" s="1">
        <f t="shared" ca="1" si="59"/>
        <v>2</v>
      </c>
      <c r="X479" s="3">
        <f>ROUND(I479+K479+M479+O479+Q479+(10-V479)/6, 2)</f>
        <v>33.17</v>
      </c>
      <c r="Y479" s="1" t="str">
        <f t="shared" si="60"/>
        <v>Stage IV</v>
      </c>
      <c r="Z479" s="10">
        <f t="shared" si="61"/>
        <v>53556.06</v>
      </c>
    </row>
    <row r="480" spans="1:26">
      <c r="A480" s="1" t="s">
        <v>378</v>
      </c>
      <c r="B480" s="1">
        <v>35</v>
      </c>
      <c r="C480" s="1" t="s">
        <v>541</v>
      </c>
      <c r="D480" s="1" t="str">
        <f>PROPER(Table3[[#This Row],[Gender]])</f>
        <v>Other</v>
      </c>
      <c r="E480" s="1" t="s">
        <v>550</v>
      </c>
      <c r="F480" s="1" t="str">
        <f>PROPER(Table3[[#This Row],[Country_Region]])</f>
        <v>Pakistan</v>
      </c>
      <c r="G480" s="1">
        <v>2023</v>
      </c>
      <c r="H480" s="1">
        <v>2.9</v>
      </c>
      <c r="I480" s="1">
        <f>IF(H480="", AVERAGEIF('CLEANED DATASET'!$G$2:$G$532,G480,'CLEANED DATASET'!$H370),H480)</f>
        <v>2.9</v>
      </c>
      <c r="J480" s="1">
        <v>3.5</v>
      </c>
      <c r="K480" s="1">
        <f t="shared" si="55"/>
        <v>3.5</v>
      </c>
      <c r="L480" s="1">
        <v>8</v>
      </c>
      <c r="M480" s="1">
        <f t="shared" si="56"/>
        <v>8</v>
      </c>
      <c r="N480" s="1">
        <v>2.8</v>
      </c>
      <c r="O480" s="1">
        <f t="shared" si="57"/>
        <v>2.8</v>
      </c>
      <c r="P480" s="1">
        <v>9</v>
      </c>
      <c r="Q480" s="1">
        <f t="shared" si="62"/>
        <v>9</v>
      </c>
      <c r="R480" s="1" t="s">
        <v>574</v>
      </c>
      <c r="S480" s="1" t="str">
        <f>PROPER(Table3[[#This Row],[Cancer_Type]])</f>
        <v>Colon</v>
      </c>
      <c r="T480" s="1" t="s">
        <v>594</v>
      </c>
      <c r="U480" s="4">
        <v>66395.91</v>
      </c>
      <c r="V480" s="1">
        <v>4</v>
      </c>
      <c r="W480" s="1">
        <f t="shared" ca="1" si="59"/>
        <v>5</v>
      </c>
      <c r="X480" s="1">
        <v>4.4400000000000004</v>
      </c>
      <c r="Y480" s="1" t="str">
        <f t="shared" si="60"/>
        <v>Stage II</v>
      </c>
      <c r="Z480" s="10">
        <f t="shared" si="61"/>
        <v>66395.91</v>
      </c>
    </row>
    <row r="481" spans="1:26">
      <c r="A481" s="1" t="s">
        <v>280</v>
      </c>
      <c r="B481" s="1">
        <v>42</v>
      </c>
      <c r="C481" s="1" t="s">
        <v>542</v>
      </c>
      <c r="D481" s="1" t="str">
        <f>PROPER(Table3[[#This Row],[Gender]])</f>
        <v>Male</v>
      </c>
      <c r="E481" s="1" t="s">
        <v>548</v>
      </c>
      <c r="F481" s="1" t="str">
        <f>PROPER(Table3[[#This Row],[Country_Region]])</f>
        <v>Uk</v>
      </c>
      <c r="G481" s="1">
        <v>2022</v>
      </c>
      <c r="H481" s="1">
        <v>7.9</v>
      </c>
      <c r="I481" s="1">
        <f>IF(H481="", AVERAGEIF('CLEANED DATASET'!$G$2:$G$532,G481,'CLEANED DATASET'!$H272),H481)</f>
        <v>7.9</v>
      </c>
      <c r="J481" s="1"/>
      <c r="K481" s="1">
        <f t="shared" si="55"/>
        <v>5.5</v>
      </c>
      <c r="L481" s="1">
        <v>8.4</v>
      </c>
      <c r="M481" s="1">
        <f t="shared" si="56"/>
        <v>8.4</v>
      </c>
      <c r="N481" s="1">
        <v>7</v>
      </c>
      <c r="O481" s="1">
        <f t="shared" si="57"/>
        <v>7</v>
      </c>
      <c r="P481" s="1">
        <v>0.6</v>
      </c>
      <c r="Q481" s="1">
        <f t="shared" si="62"/>
        <v>0.6</v>
      </c>
      <c r="R481" s="1" t="s">
        <v>576</v>
      </c>
      <c r="S481" s="1" t="str">
        <f>PROPER(Table3[[#This Row],[Cancer_Type]])</f>
        <v>Cervical</v>
      </c>
      <c r="T481" s="1" t="s">
        <v>590</v>
      </c>
      <c r="U481" s="4">
        <v>12334.48</v>
      </c>
      <c r="V481" s="1">
        <v>1.2</v>
      </c>
      <c r="W481" s="1">
        <f t="shared" ca="1" si="59"/>
        <v>4</v>
      </c>
      <c r="X481" s="1">
        <v>7.51</v>
      </c>
      <c r="Y481" s="1" t="str">
        <f t="shared" si="60"/>
        <v>Stage III</v>
      </c>
      <c r="Z481" s="10">
        <f t="shared" si="61"/>
        <v>12334.48</v>
      </c>
    </row>
    <row r="482" spans="1:26">
      <c r="A482" s="1" t="s">
        <v>85</v>
      </c>
      <c r="B482" s="1">
        <v>40</v>
      </c>
      <c r="C482" s="1" t="s">
        <v>541</v>
      </c>
      <c r="D482" s="1" t="str">
        <f>PROPER(Table3[[#This Row],[Gender]])</f>
        <v>Other</v>
      </c>
      <c r="E482" s="1" t="s">
        <v>560</v>
      </c>
      <c r="F482" s="1" t="str">
        <f>PROPER(Table3[[#This Row],[Country_Region]])</f>
        <v>Usa</v>
      </c>
      <c r="G482" s="1">
        <v>2024</v>
      </c>
      <c r="H482" s="1">
        <v>8.6999999999999993</v>
      </c>
      <c r="I482" s="1">
        <f>IF(H482="", AVERAGEIF('CLEANED DATASET'!$G$2:$G$532,G482,'CLEANED DATASET'!$H77),H482)</f>
        <v>8.6999999999999993</v>
      </c>
      <c r="J482" s="1">
        <v>4.3</v>
      </c>
      <c r="K482" s="1">
        <f t="shared" si="55"/>
        <v>4.3</v>
      </c>
      <c r="L482" s="1">
        <v>5.9</v>
      </c>
      <c r="M482" s="1">
        <f t="shared" si="56"/>
        <v>5.9</v>
      </c>
      <c r="N482" s="1">
        <v>8.6</v>
      </c>
      <c r="O482" s="1">
        <f t="shared" si="57"/>
        <v>8.6</v>
      </c>
      <c r="P482" s="1">
        <v>0.4</v>
      </c>
      <c r="Q482" s="1">
        <f t="shared" si="62"/>
        <v>0.4</v>
      </c>
      <c r="R482" s="1" t="s">
        <v>571</v>
      </c>
      <c r="S482" s="1" t="str">
        <f>PROPER(Table3[[#This Row],[Cancer_Type]])</f>
        <v>Lung</v>
      </c>
      <c r="T482" s="1" t="s">
        <v>593</v>
      </c>
      <c r="U482" s="4">
        <v>23854.37</v>
      </c>
      <c r="V482" s="1">
        <v>5.5</v>
      </c>
      <c r="W482" s="1">
        <f t="shared" ca="1" si="59"/>
        <v>3</v>
      </c>
      <c r="X482" s="1">
        <v>6.55</v>
      </c>
      <c r="Y482" s="1" t="str">
        <f t="shared" si="60"/>
        <v>Stage III</v>
      </c>
      <c r="Z482" s="10">
        <f t="shared" si="61"/>
        <v>23854.37</v>
      </c>
    </row>
    <row r="483" spans="1:26">
      <c r="A483" s="1" t="s">
        <v>527</v>
      </c>
      <c r="B483" s="1">
        <v>69</v>
      </c>
      <c r="C483" s="1" t="s">
        <v>543</v>
      </c>
      <c r="D483" s="1" t="str">
        <f>PROPER(Table3[[#This Row],[Gender]])</f>
        <v>Female</v>
      </c>
      <c r="E483" s="1" t="s">
        <v>556</v>
      </c>
      <c r="F483" s="1" t="str">
        <f>PROPER(Table3[[#This Row],[Country_Region]])</f>
        <v>India</v>
      </c>
      <c r="G483" s="1">
        <v>2023</v>
      </c>
      <c r="H483" s="1">
        <v>1.3</v>
      </c>
      <c r="I483" s="1">
        <f>IF(H483="", AVERAGEIF('CLEANED DATASET'!$G$2:$G$532,G483,'CLEANED DATASET'!$H519),H483)</f>
        <v>1.3</v>
      </c>
      <c r="J483" s="1">
        <v>3.7</v>
      </c>
      <c r="K483" s="1">
        <f t="shared" si="55"/>
        <v>3.7</v>
      </c>
      <c r="L483" s="1">
        <v>7.1</v>
      </c>
      <c r="M483" s="1">
        <f t="shared" si="56"/>
        <v>7.1</v>
      </c>
      <c r="N483" s="1">
        <v>9.5</v>
      </c>
      <c r="O483" s="1">
        <f t="shared" si="57"/>
        <v>9.5</v>
      </c>
      <c r="P483" s="1">
        <v>4.9000000000000004</v>
      </c>
      <c r="Q483" s="1">
        <f t="shared" si="62"/>
        <v>4.9000000000000004</v>
      </c>
      <c r="R483" s="1" t="s">
        <v>570</v>
      </c>
      <c r="S483" s="1" t="str">
        <f>PROPER(Table3[[#This Row],[Cancer_Type]])</f>
        <v>Skin</v>
      </c>
      <c r="T483" s="1" t="s">
        <v>591</v>
      </c>
      <c r="U483" s="4">
        <v>58146.01</v>
      </c>
      <c r="V483" s="1">
        <v>8.9</v>
      </c>
      <c r="W483" s="1">
        <f t="shared" ca="1" si="59"/>
        <v>6</v>
      </c>
      <c r="X483" s="1">
        <v>5.1100000000000003</v>
      </c>
      <c r="Y483" s="1" t="str">
        <f t="shared" si="60"/>
        <v>Stage II</v>
      </c>
      <c r="Z483" s="10">
        <f t="shared" si="61"/>
        <v>58146.01</v>
      </c>
    </row>
    <row r="484" spans="1:26">
      <c r="A484" s="1" t="s">
        <v>444</v>
      </c>
      <c r="B484" s="1">
        <v>51</v>
      </c>
      <c r="C484" s="1" t="s">
        <v>542</v>
      </c>
      <c r="D484" s="1" t="str">
        <f>PROPER(Table3[[#This Row],[Gender]])</f>
        <v>Male</v>
      </c>
      <c r="E484" s="1" t="s">
        <v>552</v>
      </c>
      <c r="F484" s="1" t="str">
        <f>PROPER(Table3[[#This Row],[Country_Region]])</f>
        <v>China</v>
      </c>
      <c r="G484" s="1">
        <v>2024</v>
      </c>
      <c r="H484" s="1">
        <v>5</v>
      </c>
      <c r="I484" s="1">
        <f>IF(H484="", AVERAGEIF('CLEANED DATASET'!$G$2:$G$532,G484,'CLEANED DATASET'!$H436),H484)</f>
        <v>5</v>
      </c>
      <c r="J484" s="1">
        <v>4</v>
      </c>
      <c r="K484" s="1">
        <f t="shared" si="55"/>
        <v>4</v>
      </c>
      <c r="L484" s="1">
        <v>0.6</v>
      </c>
      <c r="M484" s="1">
        <f t="shared" si="56"/>
        <v>0.6</v>
      </c>
      <c r="N484" s="1">
        <v>5.6</v>
      </c>
      <c r="O484" s="1">
        <f t="shared" si="57"/>
        <v>5.6</v>
      </c>
      <c r="P484" s="1">
        <v>9.9</v>
      </c>
      <c r="Q484" s="1">
        <f t="shared" si="62"/>
        <v>9.9</v>
      </c>
      <c r="R484" s="1" t="s">
        <v>576</v>
      </c>
      <c r="S484" s="1" t="str">
        <f>PROPER(Table3[[#This Row],[Cancer_Type]])</f>
        <v>Cervical</v>
      </c>
      <c r="T484" s="1" t="s">
        <v>591</v>
      </c>
      <c r="U484" s="4">
        <v>97313.35</v>
      </c>
      <c r="V484" s="1">
        <v>0.5</v>
      </c>
      <c r="W484" s="1">
        <f t="shared" ca="1" si="59"/>
        <v>8</v>
      </c>
      <c r="X484" s="1">
        <v>3.85</v>
      </c>
      <c r="Y484" s="1" t="str">
        <f t="shared" si="60"/>
        <v>Stage I</v>
      </c>
      <c r="Z484" s="10">
        <f t="shared" si="61"/>
        <v>97313.35</v>
      </c>
    </row>
    <row r="485" spans="1:26">
      <c r="A485" s="1" t="s">
        <v>249</v>
      </c>
      <c r="B485" s="1">
        <v>82</v>
      </c>
      <c r="C485" s="1" t="s">
        <v>541</v>
      </c>
      <c r="D485" s="1" t="str">
        <f>PROPER(Table3[[#This Row],[Gender]])</f>
        <v>Other</v>
      </c>
      <c r="E485" s="1" t="s">
        <v>551</v>
      </c>
      <c r="F485" s="1" t="str">
        <f>PROPER(Table3[[#This Row],[Country_Region]])</f>
        <v>Germany</v>
      </c>
      <c r="G485" s="1">
        <v>2024</v>
      </c>
      <c r="H485" s="1">
        <v>1.3</v>
      </c>
      <c r="I485" s="1">
        <f>IF(H485="", AVERAGEIF('CLEANED DATASET'!$G$2:$G$532,G485,'CLEANED DATASET'!$H241),H485)</f>
        <v>1.3</v>
      </c>
      <c r="J485" s="1">
        <v>4.9000000000000004</v>
      </c>
      <c r="K485" s="1">
        <f t="shared" si="55"/>
        <v>4.9000000000000004</v>
      </c>
      <c r="L485" s="1">
        <v>0.3</v>
      </c>
      <c r="M485" s="1">
        <f t="shared" si="56"/>
        <v>0.3</v>
      </c>
      <c r="N485" s="1">
        <v>1.4</v>
      </c>
      <c r="O485" s="1">
        <f t="shared" si="57"/>
        <v>1.4</v>
      </c>
      <c r="P485" s="1">
        <v>3.8</v>
      </c>
      <c r="Q485" s="1">
        <f t="shared" si="62"/>
        <v>3.8</v>
      </c>
      <c r="R485" s="1" t="s">
        <v>579</v>
      </c>
      <c r="S485" s="1" t="str">
        <f>PROPER(Table3[[#This Row],[Cancer_Type]])</f>
        <v>Prostate</v>
      </c>
      <c r="T485" s="1" t="s">
        <v>590</v>
      </c>
      <c r="U485" s="4">
        <v>46050.01</v>
      </c>
      <c r="V485" s="1">
        <v>2.2000000000000002</v>
      </c>
      <c r="W485" s="1">
        <f t="shared" ca="1" si="59"/>
        <v>7</v>
      </c>
      <c r="X485" s="1">
        <v>2.78</v>
      </c>
      <c r="Y485" s="1" t="str">
        <f t="shared" si="60"/>
        <v>Stage I</v>
      </c>
      <c r="Z485" s="10">
        <f t="shared" si="61"/>
        <v>46050.01</v>
      </c>
    </row>
    <row r="486" spans="1:26">
      <c r="A486" s="1" t="s">
        <v>227</v>
      </c>
      <c r="B486" s="1">
        <v>58</v>
      </c>
      <c r="C486" s="1" t="s">
        <v>542</v>
      </c>
      <c r="D486" s="1" t="str">
        <f>PROPER(Table3[[#This Row],[Gender]])</f>
        <v>Male</v>
      </c>
      <c r="E486" s="1" t="s">
        <v>565</v>
      </c>
      <c r="F486" s="1" t="str">
        <f>PROPER(Table3[[#This Row],[Country_Region]])</f>
        <v>Uk</v>
      </c>
      <c r="G486" s="1">
        <v>2022</v>
      </c>
      <c r="H486" s="1">
        <v>3.2</v>
      </c>
      <c r="I486" s="1">
        <f>IF(H486="", AVERAGEIF('CLEANED DATASET'!$G$2:$G$532,G486,'CLEANED DATASET'!$H219),H486)</f>
        <v>3.2</v>
      </c>
      <c r="J486" s="1">
        <v>7.3</v>
      </c>
      <c r="K486" s="1">
        <f t="shared" si="55"/>
        <v>7.3</v>
      </c>
      <c r="L486" s="1">
        <v>2.9</v>
      </c>
      <c r="M486" s="1">
        <f t="shared" si="56"/>
        <v>2.9</v>
      </c>
      <c r="N486" s="1">
        <v>6</v>
      </c>
      <c r="O486" s="1">
        <f t="shared" si="57"/>
        <v>6</v>
      </c>
      <c r="P486" s="1">
        <v>0.1</v>
      </c>
      <c r="Q486" s="1">
        <f t="shared" si="62"/>
        <v>0.1</v>
      </c>
      <c r="R486" s="1" t="s">
        <v>576</v>
      </c>
      <c r="S486" s="1" t="str">
        <f>PROPER(Table3[[#This Row],[Cancer_Type]])</f>
        <v>Cervical</v>
      </c>
      <c r="T486" s="1" t="s">
        <v>592</v>
      </c>
      <c r="U486" s="4">
        <v>96272.639999999999</v>
      </c>
      <c r="V486" s="1">
        <v>0.8</v>
      </c>
      <c r="W486" s="1">
        <f t="shared" ca="1" si="59"/>
        <v>8</v>
      </c>
      <c r="X486" s="1">
        <v>3.45</v>
      </c>
      <c r="Y486" s="1" t="str">
        <f t="shared" si="60"/>
        <v>Stage I</v>
      </c>
      <c r="Z486" s="10">
        <f t="shared" si="61"/>
        <v>96272.639999999999</v>
      </c>
    </row>
    <row r="487" spans="1:26">
      <c r="A487" s="1" t="s">
        <v>337</v>
      </c>
      <c r="B487" s="1">
        <v>30</v>
      </c>
      <c r="C487" s="1" t="s">
        <v>543</v>
      </c>
      <c r="D487" s="1" t="str">
        <f>PROPER(Table3[[#This Row],[Gender]])</f>
        <v>Female</v>
      </c>
      <c r="E487" s="1" t="s">
        <v>551</v>
      </c>
      <c r="F487" s="1" t="str">
        <f>PROPER(Table3[[#This Row],[Country_Region]])</f>
        <v>Germany</v>
      </c>
      <c r="G487" s="1">
        <v>2024</v>
      </c>
      <c r="H487" s="1">
        <v>7.5</v>
      </c>
      <c r="I487" s="1">
        <f>IF(H487="", AVERAGEIF('CLEANED DATASET'!$G$2:$G$532,G487,'CLEANED DATASET'!$H329),H487)</f>
        <v>7.5</v>
      </c>
      <c r="J487" s="1">
        <v>9.8000000000000007</v>
      </c>
      <c r="K487" s="1">
        <f t="shared" si="55"/>
        <v>9.8000000000000007</v>
      </c>
      <c r="L487" s="1"/>
      <c r="M487" s="3">
        <f t="shared" si="56"/>
        <v>3.2357142857142853</v>
      </c>
      <c r="N487" s="1">
        <v>5.3</v>
      </c>
      <c r="O487" s="1">
        <f t="shared" si="57"/>
        <v>5.3</v>
      </c>
      <c r="P487" s="1">
        <v>7.6</v>
      </c>
      <c r="Q487" s="1">
        <f t="shared" si="62"/>
        <v>7.6</v>
      </c>
      <c r="R487" s="1" t="s">
        <v>572</v>
      </c>
      <c r="S487" s="1" t="str">
        <f>PROPER(Table3[[#This Row],[Cancer_Type]])</f>
        <v>Leukemia</v>
      </c>
      <c r="T487" s="1" t="s">
        <v>593</v>
      </c>
      <c r="U487" s="4">
        <v>18447.2</v>
      </c>
      <c r="V487" s="1">
        <v>1</v>
      </c>
      <c r="W487" s="1">
        <f t="shared" ca="1" si="59"/>
        <v>3</v>
      </c>
      <c r="X487" s="1">
        <v>7.53</v>
      </c>
      <c r="Y487" s="1" t="str">
        <f t="shared" si="60"/>
        <v>Stage III</v>
      </c>
      <c r="Z487" s="10">
        <f t="shared" si="61"/>
        <v>18447.2</v>
      </c>
    </row>
    <row r="488" spans="1:26">
      <c r="A488" s="1" t="s">
        <v>138</v>
      </c>
      <c r="B488" s="1">
        <v>30</v>
      </c>
      <c r="C488" s="1" t="s">
        <v>541</v>
      </c>
      <c r="D488" s="1" t="str">
        <f>PROPER(Table3[[#This Row],[Gender]])</f>
        <v>Other</v>
      </c>
      <c r="E488" s="1" t="s">
        <v>561</v>
      </c>
      <c r="F488" s="1" t="str">
        <f>PROPER(Table3[[#This Row],[Country_Region]])</f>
        <v>Australia</v>
      </c>
      <c r="G488" s="1">
        <v>2022</v>
      </c>
      <c r="H488" s="1">
        <v>7.3</v>
      </c>
      <c r="I488" s="1">
        <f>IF(H488="", AVERAGEIF('CLEANED DATASET'!$G$2:$G$532,G488,'CLEANED DATASET'!$H130),H488)</f>
        <v>7.3</v>
      </c>
      <c r="J488" s="1">
        <v>6.8</v>
      </c>
      <c r="K488" s="1">
        <f t="shared" si="55"/>
        <v>6.8</v>
      </c>
      <c r="L488" s="1">
        <v>8.9</v>
      </c>
      <c r="M488" s="1">
        <f t="shared" si="56"/>
        <v>8.9</v>
      </c>
      <c r="N488" s="1">
        <v>4.7</v>
      </c>
      <c r="O488" s="1">
        <f t="shared" si="57"/>
        <v>4.7</v>
      </c>
      <c r="P488" s="1">
        <v>6.7</v>
      </c>
      <c r="Q488" s="1">
        <f t="shared" si="62"/>
        <v>6.7</v>
      </c>
      <c r="R488" s="1" t="s">
        <v>578</v>
      </c>
      <c r="S488" s="1" t="str">
        <f>PROPER(Table3[[#This Row],[Cancer_Type]])</f>
        <v>Liver</v>
      </c>
      <c r="T488" s="1" t="s">
        <v>591</v>
      </c>
      <c r="U488" s="4">
        <v>39805.56</v>
      </c>
      <c r="V488" s="1">
        <v>6.8</v>
      </c>
      <c r="W488" s="1">
        <f t="shared" ca="1" si="59"/>
        <v>4</v>
      </c>
      <c r="X488" s="1">
        <v>6.63</v>
      </c>
      <c r="Y488" s="1" t="str">
        <f t="shared" si="60"/>
        <v>Stage III</v>
      </c>
      <c r="Z488" s="10">
        <f t="shared" si="61"/>
        <v>39805.56</v>
      </c>
    </row>
    <row r="489" spans="1:26">
      <c r="A489" s="1" t="s">
        <v>427</v>
      </c>
      <c r="B489" s="1">
        <v>71</v>
      </c>
      <c r="C489" s="1" t="s">
        <v>542</v>
      </c>
      <c r="D489" s="1" t="str">
        <f>PROPER(Table3[[#This Row],[Gender]])</f>
        <v>Male</v>
      </c>
      <c r="E489" s="1" t="s">
        <v>560</v>
      </c>
      <c r="F489" s="1" t="str">
        <f>PROPER(Table3[[#This Row],[Country_Region]])</f>
        <v>Usa</v>
      </c>
      <c r="G489" s="1">
        <v>2024</v>
      </c>
      <c r="H489" s="1">
        <v>5.2</v>
      </c>
      <c r="I489" s="1">
        <f>IF(H489="", AVERAGEIF('CLEANED DATASET'!$G$2:$G$532,G489,'CLEANED DATASET'!$H419),H489)</f>
        <v>5.2</v>
      </c>
      <c r="J489" s="1">
        <v>4.9000000000000004</v>
      </c>
      <c r="K489" s="1">
        <f t="shared" si="55"/>
        <v>4.9000000000000004</v>
      </c>
      <c r="L489" s="1">
        <v>1.6</v>
      </c>
      <c r="M489" s="1">
        <f t="shared" si="56"/>
        <v>1.6</v>
      </c>
      <c r="N489" s="1">
        <v>6.3</v>
      </c>
      <c r="O489" s="1">
        <f t="shared" si="57"/>
        <v>6.3</v>
      </c>
      <c r="P489" s="1">
        <v>3.2</v>
      </c>
      <c r="Q489" s="1">
        <f t="shared" si="62"/>
        <v>3.2</v>
      </c>
      <c r="R489" s="1" t="s">
        <v>574</v>
      </c>
      <c r="S489" s="1" t="str">
        <f>PROPER(Table3[[#This Row],[Cancer_Type]])</f>
        <v>Colon</v>
      </c>
      <c r="T489" s="1" t="s">
        <v>594</v>
      </c>
      <c r="U489" s="4">
        <v>63540.44</v>
      </c>
      <c r="V489" s="1">
        <v>6.8</v>
      </c>
      <c r="W489" s="1">
        <f t="shared" ca="1" si="59"/>
        <v>6</v>
      </c>
      <c r="X489" s="1">
        <v>4.32</v>
      </c>
      <c r="Y489" s="1" t="str">
        <f t="shared" si="60"/>
        <v>Stage II</v>
      </c>
      <c r="Z489" s="10">
        <f t="shared" si="61"/>
        <v>63540.44</v>
      </c>
    </row>
    <row r="490" spans="1:26">
      <c r="A490" s="1" t="s">
        <v>251</v>
      </c>
      <c r="B490" s="1">
        <v>23</v>
      </c>
      <c r="C490" s="1" t="s">
        <v>541</v>
      </c>
      <c r="D490" s="1" t="str">
        <f>PROPER(Table3[[#This Row],[Gender]])</f>
        <v>Other</v>
      </c>
      <c r="E490" s="1" t="s">
        <v>548</v>
      </c>
      <c r="F490" s="1" t="str">
        <f>PROPER(Table3[[#This Row],[Country_Region]])</f>
        <v>Uk</v>
      </c>
      <c r="G490" s="1">
        <v>2022</v>
      </c>
      <c r="H490" s="1"/>
      <c r="I490" s="3">
        <f ca="1">IF(H490="", AVERAGEIF('CLEANED DATASET'!$G$2:$G$532,G490,'CLEANED DATASET'!$H243),H490)</f>
        <v>4.9260416666666655</v>
      </c>
      <c r="J490" s="1">
        <v>5.4</v>
      </c>
      <c r="K490" s="1">
        <f t="shared" si="55"/>
        <v>5.4</v>
      </c>
      <c r="L490" s="1">
        <v>1.8</v>
      </c>
      <c r="M490" s="1">
        <f t="shared" si="56"/>
        <v>1.8</v>
      </c>
      <c r="N490" s="1">
        <v>5.7</v>
      </c>
      <c r="O490" s="1">
        <f t="shared" si="57"/>
        <v>5.7</v>
      </c>
      <c r="P490" s="1">
        <v>0.2</v>
      </c>
      <c r="Q490" s="1">
        <f t="shared" si="62"/>
        <v>0.2</v>
      </c>
      <c r="R490" s="1" t="s">
        <v>603</v>
      </c>
      <c r="S490" s="1" t="str">
        <f>PROPER(Table3[[#This Row],[Cancer_Type]])</f>
        <v>Unknown</v>
      </c>
      <c r="T490" s="1" t="s">
        <v>592</v>
      </c>
      <c r="U490" s="4">
        <v>20479.61</v>
      </c>
      <c r="V490" s="1">
        <v>2</v>
      </c>
      <c r="W490" s="1">
        <f t="shared" ca="1" si="59"/>
        <v>6</v>
      </c>
      <c r="X490" s="1">
        <v>5.63</v>
      </c>
      <c r="Y490" s="1" t="str">
        <f t="shared" si="60"/>
        <v>Stage II</v>
      </c>
      <c r="Z490" s="10">
        <f t="shared" si="61"/>
        <v>20479.61</v>
      </c>
    </row>
    <row r="491" spans="1:26">
      <c r="A491" s="1" t="s">
        <v>495</v>
      </c>
      <c r="B491" s="1">
        <v>76</v>
      </c>
      <c r="C491" s="1" t="s">
        <v>541</v>
      </c>
      <c r="D491" s="1" t="str">
        <f>PROPER(Table3[[#This Row],[Gender]])</f>
        <v>Other</v>
      </c>
      <c r="E491" s="1" t="s">
        <v>554</v>
      </c>
      <c r="F491" s="1" t="str">
        <f>PROPER(Table3[[#This Row],[Country_Region]])</f>
        <v>Brazil</v>
      </c>
      <c r="G491" s="1">
        <v>2022</v>
      </c>
      <c r="H491" s="1"/>
      <c r="I491" s="3">
        <f ca="1">IF(H491="", AVERAGEIF('CLEANED DATASET'!$G$2:$G$532,G491,'CLEANED DATASET'!$H487),H491)</f>
        <v>4.2142857142857144</v>
      </c>
      <c r="J491" s="1">
        <v>1</v>
      </c>
      <c r="K491" s="1">
        <f t="shared" si="55"/>
        <v>1</v>
      </c>
      <c r="L491" s="1">
        <v>0.1</v>
      </c>
      <c r="M491" s="1">
        <f t="shared" si="56"/>
        <v>0.1</v>
      </c>
      <c r="N491" s="1"/>
      <c r="O491" s="3">
        <f t="shared" si="57"/>
        <v>4.25</v>
      </c>
      <c r="P491" s="1">
        <v>4</v>
      </c>
      <c r="Q491" s="1">
        <f t="shared" ref="Q491:Q522" si="63">IF(P491="",AVERAGEIF(G491:G1021,G491,P491:P1021),P491)</f>
        <v>4</v>
      </c>
      <c r="R491" s="1" t="s">
        <v>574</v>
      </c>
      <c r="S491" s="1" t="str">
        <f>PROPER(Table3[[#This Row],[Cancer_Type]])</f>
        <v>Colon</v>
      </c>
      <c r="T491" s="1" t="s">
        <v>592</v>
      </c>
      <c r="U491" s="4">
        <v>75729.5</v>
      </c>
      <c r="V491" s="1">
        <v>6.8</v>
      </c>
      <c r="W491" s="1">
        <f t="shared" ca="1" si="59"/>
        <v>8</v>
      </c>
      <c r="X491" s="1">
        <v>3.33</v>
      </c>
      <c r="Y491" s="1" t="str">
        <f t="shared" si="60"/>
        <v>Stage I</v>
      </c>
      <c r="Z491" s="10">
        <f t="shared" si="61"/>
        <v>75729.5</v>
      </c>
    </row>
    <row r="492" spans="1:26">
      <c r="A492" s="1" t="s">
        <v>119</v>
      </c>
      <c r="B492" s="1">
        <v>28</v>
      </c>
      <c r="C492" s="1" t="s">
        <v>541</v>
      </c>
      <c r="D492" s="1" t="str">
        <f>PROPER(Table3[[#This Row],[Gender]])</f>
        <v>Other</v>
      </c>
      <c r="E492" s="1" t="s">
        <v>561</v>
      </c>
      <c r="F492" s="1" t="str">
        <f>PROPER(Table3[[#This Row],[Country_Region]])</f>
        <v>Australia</v>
      </c>
      <c r="G492" s="1">
        <v>2023</v>
      </c>
      <c r="H492" s="1">
        <v>1.4</v>
      </c>
      <c r="I492" s="1">
        <f>IF(H492="", AVERAGEIF('CLEANED DATASET'!$G$2:$G$532,G492,'CLEANED DATASET'!$H111),H492)</f>
        <v>1.4</v>
      </c>
      <c r="J492" s="1">
        <v>1.4</v>
      </c>
      <c r="K492" s="1">
        <f t="shared" si="55"/>
        <v>1.4</v>
      </c>
      <c r="L492" s="1">
        <v>7.9</v>
      </c>
      <c r="M492" s="1">
        <f t="shared" si="56"/>
        <v>7.9</v>
      </c>
      <c r="N492" s="1">
        <v>7.5</v>
      </c>
      <c r="O492" s="1">
        <f t="shared" si="57"/>
        <v>7.5</v>
      </c>
      <c r="P492" s="1">
        <v>2.4</v>
      </c>
      <c r="Q492" s="1">
        <f t="shared" si="63"/>
        <v>2.4</v>
      </c>
      <c r="R492" s="1" t="s">
        <v>578</v>
      </c>
      <c r="S492" s="1" t="str">
        <f>PROPER(Table3[[#This Row],[Cancer_Type]])</f>
        <v>Liver</v>
      </c>
      <c r="T492" s="1" t="s">
        <v>593</v>
      </c>
      <c r="U492" s="4"/>
      <c r="V492" s="1">
        <v>6.5</v>
      </c>
      <c r="W492" s="1">
        <f t="shared" ca="1" si="59"/>
        <v>6</v>
      </c>
      <c r="X492" s="1">
        <v>4.3600000000000003</v>
      </c>
      <c r="Y492" s="1" t="str">
        <f t="shared" si="60"/>
        <v>Stage II</v>
      </c>
      <c r="Z492" s="10">
        <f t="shared" si="61"/>
        <v>54478.1</v>
      </c>
    </row>
    <row r="493" spans="1:26">
      <c r="A493" s="1" t="s">
        <v>298</v>
      </c>
      <c r="B493" s="1">
        <v>54</v>
      </c>
      <c r="C493" s="1" t="s">
        <v>541</v>
      </c>
      <c r="D493" s="1" t="str">
        <f>PROPER(Table3[[#This Row],[Gender]])</f>
        <v>Other</v>
      </c>
      <c r="E493" s="1" t="s">
        <v>552</v>
      </c>
      <c r="F493" s="1" t="str">
        <f>PROPER(Table3[[#This Row],[Country_Region]])</f>
        <v>China</v>
      </c>
      <c r="G493" s="1">
        <v>2024</v>
      </c>
      <c r="H493" s="1">
        <v>7</v>
      </c>
      <c r="I493" s="1">
        <f>IF(H493="", AVERAGEIF('CLEANED DATASET'!$G$2:$G$532,G493,'CLEANED DATASET'!$H290),H493)</f>
        <v>7</v>
      </c>
      <c r="J493" s="1">
        <v>5.3</v>
      </c>
      <c r="K493" s="1">
        <f t="shared" si="55"/>
        <v>5.3</v>
      </c>
      <c r="L493" s="1">
        <v>1.3</v>
      </c>
      <c r="M493" s="1">
        <f t="shared" si="56"/>
        <v>1.3</v>
      </c>
      <c r="N493" s="1">
        <v>2.8</v>
      </c>
      <c r="O493" s="1">
        <f t="shared" si="57"/>
        <v>2.8</v>
      </c>
      <c r="P493" s="1">
        <v>8.6</v>
      </c>
      <c r="Q493" s="1">
        <f t="shared" si="63"/>
        <v>8.6</v>
      </c>
      <c r="R493" s="1" t="s">
        <v>578</v>
      </c>
      <c r="S493" s="1" t="str">
        <f>PROPER(Table3[[#This Row],[Cancer_Type]])</f>
        <v>Liver</v>
      </c>
      <c r="T493" s="1" t="s">
        <v>591</v>
      </c>
      <c r="U493" s="4">
        <v>63328.56</v>
      </c>
      <c r="V493" s="1">
        <v>2.8</v>
      </c>
      <c r="W493" s="1">
        <f t="shared" ca="1" si="59"/>
        <v>5</v>
      </c>
      <c r="X493" s="1">
        <v>4.54</v>
      </c>
      <c r="Y493" s="1" t="str">
        <f t="shared" si="60"/>
        <v>Stage II</v>
      </c>
      <c r="Z493" s="10">
        <f t="shared" si="61"/>
        <v>63328.56</v>
      </c>
    </row>
    <row r="494" spans="1:26">
      <c r="A494" s="1" t="s">
        <v>87</v>
      </c>
      <c r="B494" s="1">
        <v>82</v>
      </c>
      <c r="C494" s="1" t="s">
        <v>541</v>
      </c>
      <c r="D494" s="1" t="str">
        <f>PROPER(Table3[[#This Row],[Gender]])</f>
        <v>Other</v>
      </c>
      <c r="E494" s="1" t="s">
        <v>548</v>
      </c>
      <c r="F494" s="1" t="str">
        <f>PROPER(Table3[[#This Row],[Country_Region]])</f>
        <v>Uk</v>
      </c>
      <c r="G494" s="1">
        <v>2024</v>
      </c>
      <c r="H494" s="1">
        <v>6.7</v>
      </c>
      <c r="I494" s="1">
        <f>IF(H494="", AVERAGEIF('CLEANED DATASET'!$G$2:$G$532,G494,'CLEANED DATASET'!$H79),H494)</f>
        <v>6.7</v>
      </c>
      <c r="J494" s="1">
        <v>3.1</v>
      </c>
      <c r="K494" s="1">
        <f t="shared" si="55"/>
        <v>3.1</v>
      </c>
      <c r="L494" s="1">
        <v>1.5</v>
      </c>
      <c r="M494" s="1">
        <f t="shared" si="56"/>
        <v>1.5</v>
      </c>
      <c r="N494" s="1">
        <v>4.3</v>
      </c>
      <c r="O494" s="1">
        <f t="shared" si="57"/>
        <v>4.3</v>
      </c>
      <c r="P494" s="1">
        <v>1.3</v>
      </c>
      <c r="Q494" s="1">
        <f t="shared" si="63"/>
        <v>1.3</v>
      </c>
      <c r="R494" s="1" t="s">
        <v>573</v>
      </c>
      <c r="S494" s="1" t="str">
        <f>PROPER(Table3[[#This Row],[Cancer_Type]])</f>
        <v>Breast</v>
      </c>
      <c r="T494" s="1" t="s">
        <v>593</v>
      </c>
      <c r="U494" s="4">
        <v>92859.37</v>
      </c>
      <c r="V494" s="1">
        <v>9.3000000000000007</v>
      </c>
      <c r="W494" s="1">
        <f t="shared" ca="1" si="59"/>
        <v>7</v>
      </c>
      <c r="X494" s="1">
        <v>3.16</v>
      </c>
      <c r="Y494" s="1" t="str">
        <f t="shared" si="60"/>
        <v>Stage I</v>
      </c>
      <c r="Z494" s="10">
        <f t="shared" si="61"/>
        <v>92859.37</v>
      </c>
    </row>
    <row r="495" spans="1:26">
      <c r="A495" s="1" t="s">
        <v>49</v>
      </c>
      <c r="B495" s="1">
        <v>80</v>
      </c>
      <c r="C495" s="1" t="s">
        <v>542</v>
      </c>
      <c r="D495" s="1" t="str">
        <f>PROPER(Table3[[#This Row],[Gender]])</f>
        <v>Male</v>
      </c>
      <c r="E495" s="1" t="s">
        <v>555</v>
      </c>
      <c r="F495" s="1" t="str">
        <f>PROPER(Table3[[#This Row],[Country_Region]])</f>
        <v>Russia</v>
      </c>
      <c r="G495" s="1">
        <v>2022</v>
      </c>
      <c r="H495" s="1">
        <v>8.9</v>
      </c>
      <c r="I495" s="1">
        <f>IF(H495="", AVERAGEIF('CLEANED DATASET'!$G$2:$G$532,G495,'CLEANED DATASET'!$H41),H495)</f>
        <v>8.9</v>
      </c>
      <c r="J495" s="1">
        <v>5.0999999999999996</v>
      </c>
      <c r="K495" s="1">
        <f t="shared" si="55"/>
        <v>5.0999999999999996</v>
      </c>
      <c r="L495" s="1">
        <v>8.1999999999999993</v>
      </c>
      <c r="M495" s="1">
        <f t="shared" si="56"/>
        <v>8.1999999999999993</v>
      </c>
      <c r="N495" s="1">
        <v>8.6</v>
      </c>
      <c r="O495" s="1">
        <f t="shared" si="57"/>
        <v>8.6</v>
      </c>
      <c r="P495" s="1">
        <v>5.8</v>
      </c>
      <c r="Q495" s="1">
        <f t="shared" si="63"/>
        <v>5.8</v>
      </c>
      <c r="R495" s="1" t="s">
        <v>579</v>
      </c>
      <c r="S495" s="1" t="str">
        <f>PROPER(Table3[[#This Row],[Cancer_Type]])</f>
        <v>Prostate</v>
      </c>
      <c r="T495" s="1" t="s">
        <v>592</v>
      </c>
      <c r="U495" s="4">
        <v>39147.26</v>
      </c>
      <c r="V495" s="1">
        <v>6.7</v>
      </c>
      <c r="W495" s="1">
        <f t="shared" ca="1" si="59"/>
        <v>1</v>
      </c>
      <c r="X495" s="3">
        <f>ROUND(I495+K495+M495+O495+Q495+(10-V495)/6, 2)</f>
        <v>37.15</v>
      </c>
      <c r="Y495" s="1" t="str">
        <f t="shared" si="60"/>
        <v>Stage IV</v>
      </c>
      <c r="Z495" s="10">
        <f t="shared" si="61"/>
        <v>39147.26</v>
      </c>
    </row>
    <row r="496" spans="1:26">
      <c r="A496" s="1" t="s">
        <v>447</v>
      </c>
      <c r="B496" s="1">
        <v>35</v>
      </c>
      <c r="C496" s="1" t="s">
        <v>542</v>
      </c>
      <c r="D496" s="1" t="str">
        <f>PROPER(Table3[[#This Row],[Gender]])</f>
        <v>Male</v>
      </c>
      <c r="E496" s="1" t="s">
        <v>554</v>
      </c>
      <c r="F496" s="1" t="str">
        <f>PROPER(Table3[[#This Row],[Country_Region]])</f>
        <v>Brazil</v>
      </c>
      <c r="G496" s="1">
        <v>2024</v>
      </c>
      <c r="H496" s="1">
        <v>4.7</v>
      </c>
      <c r="I496" s="1">
        <f>IF(H496="", AVERAGEIF('CLEANED DATASET'!$G$2:$G$532,G496,'CLEANED DATASET'!$H439),H496)</f>
        <v>4.7</v>
      </c>
      <c r="J496" s="1">
        <v>4.0999999999999996</v>
      </c>
      <c r="K496" s="1">
        <f t="shared" si="55"/>
        <v>4.0999999999999996</v>
      </c>
      <c r="L496" s="1">
        <v>5</v>
      </c>
      <c r="M496" s="1">
        <f t="shared" si="56"/>
        <v>5</v>
      </c>
      <c r="N496" s="1">
        <v>8.5</v>
      </c>
      <c r="O496" s="1">
        <f t="shared" si="57"/>
        <v>8.5</v>
      </c>
      <c r="P496" s="1">
        <v>0.2</v>
      </c>
      <c r="Q496" s="1">
        <f t="shared" si="63"/>
        <v>0.2</v>
      </c>
      <c r="R496" s="1" t="s">
        <v>574</v>
      </c>
      <c r="S496" s="1" t="str">
        <f>PROPER(Table3[[#This Row],[Cancer_Type]])</f>
        <v>Colon</v>
      </c>
      <c r="T496" s="1" t="s">
        <v>592</v>
      </c>
      <c r="U496" s="4">
        <v>40670.949999999997</v>
      </c>
      <c r="V496" s="1">
        <v>4.2</v>
      </c>
      <c r="W496" s="1">
        <f t="shared" ca="1" si="59"/>
        <v>6</v>
      </c>
      <c r="X496" s="1">
        <v>5.21</v>
      </c>
      <c r="Y496" s="1" t="str">
        <f t="shared" si="60"/>
        <v>Stage II</v>
      </c>
      <c r="Z496" s="10">
        <f t="shared" si="61"/>
        <v>40670.949999999997</v>
      </c>
    </row>
    <row r="497" spans="1:26">
      <c r="A497" s="1" t="s">
        <v>313</v>
      </c>
      <c r="B497" s="1">
        <v>22</v>
      </c>
      <c r="C497" s="1" t="s">
        <v>542</v>
      </c>
      <c r="D497" s="1" t="str">
        <f>PROPER(Table3[[#This Row],[Gender]])</f>
        <v>Male</v>
      </c>
      <c r="E497" s="1" t="s">
        <v>568</v>
      </c>
      <c r="F497" s="1" t="str">
        <f>PROPER(Table3[[#This Row],[Country_Region]])</f>
        <v>Canada</v>
      </c>
      <c r="G497" s="1">
        <v>2023</v>
      </c>
      <c r="H497" s="1">
        <v>5.3</v>
      </c>
      <c r="I497" s="1">
        <f>IF(H497="", AVERAGEIF('CLEANED DATASET'!$G$2:$G$532,G497,'CLEANED DATASET'!$H305),H497)</f>
        <v>5.3</v>
      </c>
      <c r="J497" s="1"/>
      <c r="K497" s="1">
        <f t="shared" si="55"/>
        <v>4</v>
      </c>
      <c r="L497" s="1">
        <v>2.9</v>
      </c>
      <c r="M497" s="1">
        <f t="shared" si="56"/>
        <v>2.9</v>
      </c>
      <c r="N497" s="1">
        <v>6.9</v>
      </c>
      <c r="O497" s="1">
        <f t="shared" si="57"/>
        <v>6.9</v>
      </c>
      <c r="P497" s="1">
        <v>5.3</v>
      </c>
      <c r="Q497" s="1">
        <f t="shared" si="63"/>
        <v>5.3</v>
      </c>
      <c r="R497" s="1" t="s">
        <v>570</v>
      </c>
      <c r="S497" s="1" t="str">
        <f>PROPER(Table3[[#This Row],[Cancer_Type]])</f>
        <v>Skin</v>
      </c>
      <c r="T497" s="1" t="s">
        <v>593</v>
      </c>
      <c r="U497" s="4">
        <v>67452.72</v>
      </c>
      <c r="V497" s="1">
        <v>3.6</v>
      </c>
      <c r="W497" s="1">
        <f t="shared" ca="1" si="59"/>
        <v>5</v>
      </c>
      <c r="X497" s="1">
        <v>4.91</v>
      </c>
      <c r="Y497" s="1" t="str">
        <f t="shared" si="60"/>
        <v>Stage II</v>
      </c>
      <c r="Z497" s="10">
        <f t="shared" si="61"/>
        <v>67452.72</v>
      </c>
    </row>
    <row r="498" spans="1:26">
      <c r="A498" s="1" t="s">
        <v>179</v>
      </c>
      <c r="B498" s="1">
        <v>38</v>
      </c>
      <c r="C498" s="1" t="s">
        <v>542</v>
      </c>
      <c r="D498" s="1" t="str">
        <f>PROPER(Table3[[#This Row],[Gender]])</f>
        <v>Male</v>
      </c>
      <c r="E498" s="1" t="s">
        <v>564</v>
      </c>
      <c r="F498" s="1" t="str">
        <f>PROPER(Table3[[#This Row],[Country_Region]])</f>
        <v>Australia</v>
      </c>
      <c r="G498" s="1">
        <v>2023</v>
      </c>
      <c r="H498" s="1">
        <v>1</v>
      </c>
      <c r="I498" s="1">
        <f>IF(H498="", AVERAGEIF('CLEANED DATASET'!$G$2:$G$532,G498,'CLEANED DATASET'!$H171),H498)</f>
        <v>1</v>
      </c>
      <c r="J498" s="1">
        <v>6.9</v>
      </c>
      <c r="K498" s="1">
        <f t="shared" si="55"/>
        <v>6.9</v>
      </c>
      <c r="L498" s="1">
        <v>6.4</v>
      </c>
      <c r="M498" s="1">
        <f t="shared" si="56"/>
        <v>6.4</v>
      </c>
      <c r="N498" s="1">
        <v>7.8</v>
      </c>
      <c r="O498" s="1">
        <f t="shared" si="57"/>
        <v>7.8</v>
      </c>
      <c r="P498" s="1">
        <v>0.1</v>
      </c>
      <c r="Q498" s="1">
        <f t="shared" si="63"/>
        <v>0.1</v>
      </c>
      <c r="R498" s="1" t="s">
        <v>572</v>
      </c>
      <c r="S498" s="1" t="str">
        <f>PROPER(Table3[[#This Row],[Cancer_Type]])</f>
        <v>Leukemia</v>
      </c>
      <c r="T498" s="1" t="s">
        <v>594</v>
      </c>
      <c r="U498" s="4">
        <v>17298.53</v>
      </c>
      <c r="V498" s="1">
        <v>2.6</v>
      </c>
      <c r="W498" s="1">
        <f t="shared" ca="1" si="59"/>
        <v>6</v>
      </c>
      <c r="X498" s="1">
        <v>5.42</v>
      </c>
      <c r="Y498" s="1" t="str">
        <f t="shared" si="60"/>
        <v>Stage II</v>
      </c>
      <c r="Z498" s="10">
        <f t="shared" si="61"/>
        <v>17298.53</v>
      </c>
    </row>
    <row r="499" spans="1:26">
      <c r="A499" s="1" t="s">
        <v>68</v>
      </c>
      <c r="B499" s="1">
        <v>69</v>
      </c>
      <c r="C499" s="1" t="s">
        <v>543</v>
      </c>
      <c r="D499" s="1" t="str">
        <f>PROPER(Table3[[#This Row],[Gender]])</f>
        <v>Female</v>
      </c>
      <c r="E499" s="1" t="s">
        <v>554</v>
      </c>
      <c r="F499" s="1" t="str">
        <f>PROPER(Table3[[#This Row],[Country_Region]])</f>
        <v>Brazil</v>
      </c>
      <c r="G499" s="1">
        <v>2024</v>
      </c>
      <c r="H499" s="1">
        <v>8</v>
      </c>
      <c r="I499" s="1">
        <f>IF(H499="", AVERAGEIF('CLEANED DATASET'!$G$2:$G$532,G499,'CLEANED DATASET'!$H60),H499)</f>
        <v>8</v>
      </c>
      <c r="J499" s="1">
        <v>7.2</v>
      </c>
      <c r="K499" s="1">
        <f t="shared" si="55"/>
        <v>7.2</v>
      </c>
      <c r="L499" s="1">
        <v>0.2</v>
      </c>
      <c r="M499" s="1">
        <f t="shared" si="56"/>
        <v>0.2</v>
      </c>
      <c r="N499" s="1">
        <v>6.8</v>
      </c>
      <c r="O499" s="1">
        <f t="shared" si="57"/>
        <v>6.8</v>
      </c>
      <c r="P499" s="1"/>
      <c r="Q499" s="3">
        <f t="shared" si="63"/>
        <v>5.5555555555555562</v>
      </c>
      <c r="R499" s="1" t="s">
        <v>573</v>
      </c>
      <c r="S499" s="1" t="str">
        <f>PROPER(Table3[[#This Row],[Cancer_Type]])</f>
        <v>Breast</v>
      </c>
      <c r="T499" s="1" t="s">
        <v>591</v>
      </c>
      <c r="U499" s="4"/>
      <c r="V499" s="1">
        <f>ROUND(10-((I499+K499+M499+O499+Q499)/5),1)</f>
        <v>4.4000000000000004</v>
      </c>
      <c r="W499" s="1">
        <f t="shared" ca="1" si="59"/>
        <v>5</v>
      </c>
      <c r="X499" s="1">
        <v>5.28</v>
      </c>
      <c r="Y499" s="1" t="str">
        <f t="shared" si="60"/>
        <v>Stage II</v>
      </c>
      <c r="Z499" s="10">
        <f t="shared" si="61"/>
        <v>59263.85</v>
      </c>
    </row>
    <row r="500" spans="1:26">
      <c r="A500" s="1" t="s">
        <v>128</v>
      </c>
      <c r="B500" s="1">
        <v>56</v>
      </c>
      <c r="C500" s="1" t="s">
        <v>542</v>
      </c>
      <c r="D500" s="1" t="str">
        <f>PROPER(Table3[[#This Row],[Gender]])</f>
        <v>Male</v>
      </c>
      <c r="E500" s="1" t="s">
        <v>554</v>
      </c>
      <c r="F500" s="1" t="str">
        <f>PROPER(Table3[[#This Row],[Country_Region]])</f>
        <v>Brazil</v>
      </c>
      <c r="G500" s="1">
        <v>2023</v>
      </c>
      <c r="H500" s="1">
        <v>0.8</v>
      </c>
      <c r="I500" s="1">
        <f>IF(H500="", AVERAGEIF('CLEANED DATASET'!$G$2:$G$532,G500,'CLEANED DATASET'!$H120),H500)</f>
        <v>0.8</v>
      </c>
      <c r="J500" s="1">
        <v>6.2</v>
      </c>
      <c r="K500" s="1">
        <f t="shared" si="55"/>
        <v>6.2</v>
      </c>
      <c r="L500" s="1">
        <v>3.9</v>
      </c>
      <c r="M500" s="1">
        <f t="shared" si="56"/>
        <v>3.9</v>
      </c>
      <c r="N500" s="1">
        <v>0</v>
      </c>
      <c r="O500" s="1">
        <f t="shared" si="57"/>
        <v>0</v>
      </c>
      <c r="P500" s="1"/>
      <c r="Q500" s="3">
        <f t="shared" si="63"/>
        <v>4.536363636363637</v>
      </c>
      <c r="R500" s="1" t="s">
        <v>572</v>
      </c>
      <c r="S500" s="1" t="str">
        <f>PROPER(Table3[[#This Row],[Cancer_Type]])</f>
        <v>Leukemia</v>
      </c>
      <c r="T500" s="1" t="s">
        <v>590</v>
      </c>
      <c r="U500" s="4">
        <v>79657.69</v>
      </c>
      <c r="V500" s="1">
        <v>6.1</v>
      </c>
      <c r="W500" s="1">
        <f t="shared" ca="1" si="59"/>
        <v>8</v>
      </c>
      <c r="X500" s="1">
        <v>2.79</v>
      </c>
      <c r="Y500" s="1" t="str">
        <f t="shared" si="60"/>
        <v>Stage I</v>
      </c>
      <c r="Z500" s="10">
        <f t="shared" si="61"/>
        <v>79657.69</v>
      </c>
    </row>
    <row r="501" spans="1:26">
      <c r="A501" s="1" t="s">
        <v>41</v>
      </c>
      <c r="B501" s="1">
        <v>29</v>
      </c>
      <c r="C501" s="1" t="s">
        <v>543</v>
      </c>
      <c r="D501" s="1" t="str">
        <f>PROPER(Table3[[#This Row],[Gender]])</f>
        <v>Female</v>
      </c>
      <c r="E501" s="1" t="s">
        <v>558</v>
      </c>
      <c r="F501" s="1" t="str">
        <f>PROPER(Table3[[#This Row],[Country_Region]])</f>
        <v>Brazil</v>
      </c>
      <c r="G501" s="1">
        <v>2022</v>
      </c>
      <c r="H501" s="1">
        <v>2</v>
      </c>
      <c r="I501" s="1">
        <f>IF(H501="", AVERAGEIF('CLEANED DATASET'!$G$2:$G$532,G501,'CLEANED DATASET'!$H33),H501)</f>
        <v>2</v>
      </c>
      <c r="J501" s="1">
        <v>0.7</v>
      </c>
      <c r="K501" s="1">
        <f t="shared" si="55"/>
        <v>0.7</v>
      </c>
      <c r="L501" s="1">
        <v>0.5</v>
      </c>
      <c r="M501" s="1">
        <f t="shared" si="56"/>
        <v>0.5</v>
      </c>
      <c r="N501" s="1">
        <v>0.5</v>
      </c>
      <c r="O501" s="1">
        <f t="shared" si="57"/>
        <v>0.5</v>
      </c>
      <c r="P501" s="1">
        <v>9.8000000000000007</v>
      </c>
      <c r="Q501" s="1">
        <f t="shared" si="63"/>
        <v>9.8000000000000007</v>
      </c>
      <c r="R501" s="1" t="s">
        <v>574</v>
      </c>
      <c r="S501" s="1" t="str">
        <f>PROPER(Table3[[#This Row],[Cancer_Type]])</f>
        <v>Colon</v>
      </c>
      <c r="T501" s="1" t="s">
        <v>590</v>
      </c>
      <c r="U501" s="4">
        <v>29872.06</v>
      </c>
      <c r="V501" s="1">
        <v>1.5</v>
      </c>
      <c r="W501" s="1">
        <f t="shared" ca="1" si="59"/>
        <v>7</v>
      </c>
      <c r="X501" s="1">
        <v>3.06</v>
      </c>
      <c r="Y501" s="1" t="str">
        <f t="shared" si="60"/>
        <v>Stage I</v>
      </c>
      <c r="Z501" s="10">
        <f t="shared" si="61"/>
        <v>29872.06</v>
      </c>
    </row>
    <row r="502" spans="1:26">
      <c r="A502" s="1" t="s">
        <v>223</v>
      </c>
      <c r="B502" s="1">
        <v>37</v>
      </c>
      <c r="C502" s="1" t="s">
        <v>542</v>
      </c>
      <c r="D502" s="1" t="str">
        <f>PROPER(Table3[[#This Row],[Gender]])</f>
        <v>Male</v>
      </c>
      <c r="E502" s="1" t="s">
        <v>556</v>
      </c>
      <c r="F502" s="1" t="str">
        <f>PROPER(Table3[[#This Row],[Country_Region]])</f>
        <v>India</v>
      </c>
      <c r="G502" s="1">
        <v>2022</v>
      </c>
      <c r="H502" s="1">
        <v>2.6</v>
      </c>
      <c r="I502" s="1">
        <f>IF(H502="", AVERAGEIF('CLEANED DATASET'!$G$2:$G$532,G502,'CLEANED DATASET'!$H215),H502)</f>
        <v>2.6</v>
      </c>
      <c r="J502" s="1">
        <v>5.0999999999999996</v>
      </c>
      <c r="K502" s="1">
        <f t="shared" si="55"/>
        <v>5.0999999999999996</v>
      </c>
      <c r="L502" s="1">
        <v>9.5</v>
      </c>
      <c r="M502" s="1">
        <f t="shared" si="56"/>
        <v>9.5</v>
      </c>
      <c r="N502" s="1">
        <v>3.5</v>
      </c>
      <c r="O502" s="1">
        <f t="shared" si="57"/>
        <v>3.5</v>
      </c>
      <c r="P502" s="1">
        <v>9.6</v>
      </c>
      <c r="Q502" s="1">
        <f t="shared" si="63"/>
        <v>9.6</v>
      </c>
      <c r="R502" s="1" t="s">
        <v>576</v>
      </c>
      <c r="S502" s="1" t="str">
        <f>PROPER(Table3[[#This Row],[Cancer_Type]])</f>
        <v>Cervical</v>
      </c>
      <c r="T502" s="1" t="s">
        <v>591</v>
      </c>
      <c r="U502" s="4">
        <v>86717.52</v>
      </c>
      <c r="V502" s="1">
        <v>5.8</v>
      </c>
      <c r="W502" s="1">
        <f t="shared" ca="1" si="59"/>
        <v>6</v>
      </c>
      <c r="X502" s="1">
        <v>4.6399999999999997</v>
      </c>
      <c r="Y502" s="1" t="str">
        <f t="shared" si="60"/>
        <v>Stage II</v>
      </c>
      <c r="Z502" s="10">
        <f t="shared" si="61"/>
        <v>86717.52</v>
      </c>
    </row>
    <row r="503" spans="1:26">
      <c r="A503" s="1" t="s">
        <v>252</v>
      </c>
      <c r="B503" s="1">
        <v>49</v>
      </c>
      <c r="C503" s="1" t="s">
        <v>543</v>
      </c>
      <c r="D503" s="1" t="str">
        <f>PROPER(Table3[[#This Row],[Gender]])</f>
        <v>Female</v>
      </c>
      <c r="E503" s="1" t="s">
        <v>553</v>
      </c>
      <c r="F503" s="1" t="str">
        <f>PROPER(Table3[[#This Row],[Country_Region]])</f>
        <v>Canada</v>
      </c>
      <c r="G503" s="1">
        <v>2022</v>
      </c>
      <c r="H503" s="1">
        <v>4</v>
      </c>
      <c r="I503" s="1">
        <f>IF(H503="", AVERAGEIF('CLEANED DATASET'!$G$2:$G$532,G503,'CLEANED DATASET'!$H244),H503)</f>
        <v>4</v>
      </c>
      <c r="J503" s="1">
        <v>4.2</v>
      </c>
      <c r="K503" s="1">
        <f t="shared" si="55"/>
        <v>4.2</v>
      </c>
      <c r="L503" s="1">
        <v>0.1</v>
      </c>
      <c r="M503" s="1">
        <f t="shared" si="56"/>
        <v>0.1</v>
      </c>
      <c r="N503" s="1">
        <v>4.8</v>
      </c>
      <c r="O503" s="1">
        <f t="shared" si="57"/>
        <v>4.8</v>
      </c>
      <c r="P503" s="1">
        <v>0.4</v>
      </c>
      <c r="Q503" s="1">
        <f t="shared" si="63"/>
        <v>0.4</v>
      </c>
      <c r="R503" s="1" t="s">
        <v>572</v>
      </c>
      <c r="S503" s="1" t="str">
        <f>PROPER(Table3[[#This Row],[Cancer_Type]])</f>
        <v>Leukemia</v>
      </c>
      <c r="T503" s="1" t="s">
        <v>594</v>
      </c>
      <c r="U503" s="4">
        <v>91331.28</v>
      </c>
      <c r="V503" s="1">
        <v>2.2999999999999998</v>
      </c>
      <c r="W503" s="1">
        <f t="shared" ca="1" si="59"/>
        <v>8</v>
      </c>
      <c r="X503" s="1">
        <v>2.62</v>
      </c>
      <c r="Y503" s="1" t="str">
        <f t="shared" si="60"/>
        <v>Stage I</v>
      </c>
      <c r="Z503" s="10">
        <f t="shared" si="61"/>
        <v>91331.28</v>
      </c>
    </row>
    <row r="504" spans="1:26">
      <c r="A504" s="1" t="s">
        <v>17</v>
      </c>
      <c r="B504" s="1">
        <v>47</v>
      </c>
      <c r="C504" s="1" t="s">
        <v>542</v>
      </c>
      <c r="D504" s="1" t="str">
        <f>PROPER(Table3[[#This Row],[Gender]])</f>
        <v>Male</v>
      </c>
      <c r="E504" s="1" t="s">
        <v>552</v>
      </c>
      <c r="F504" s="1" t="str">
        <f>PROPER(Table3[[#This Row],[Country_Region]])</f>
        <v>China</v>
      </c>
      <c r="G504" s="1">
        <v>2022</v>
      </c>
      <c r="H504" s="1">
        <v>4.9000000000000004</v>
      </c>
      <c r="I504" s="1">
        <f>IF(H504="", AVERAGEIF('CLEANED DATASET'!$G$2:$G$532,G504,'CLEANED DATASET'!$H9),H504)</f>
        <v>4.9000000000000004</v>
      </c>
      <c r="J504" s="1">
        <v>1.8</v>
      </c>
      <c r="K504" s="1">
        <f t="shared" si="55"/>
        <v>1.8</v>
      </c>
      <c r="L504" s="1">
        <v>4.0999999999999996</v>
      </c>
      <c r="M504" s="1">
        <f t="shared" si="56"/>
        <v>4.0999999999999996</v>
      </c>
      <c r="N504" s="1">
        <v>2.2999999999999998</v>
      </c>
      <c r="O504" s="1">
        <f t="shared" si="57"/>
        <v>2.2999999999999998</v>
      </c>
      <c r="P504" s="1">
        <v>4.5999999999999996</v>
      </c>
      <c r="Q504" s="1">
        <f t="shared" si="63"/>
        <v>4.5999999999999996</v>
      </c>
      <c r="R504" s="1" t="s">
        <v>571</v>
      </c>
      <c r="S504" s="1" t="str">
        <f>PROPER(Table3[[#This Row],[Cancer_Type]])</f>
        <v>Lung</v>
      </c>
      <c r="T504" s="1" t="s">
        <v>591</v>
      </c>
      <c r="U504" s="4">
        <v>23641.55</v>
      </c>
      <c r="V504" s="1">
        <v>3.4</v>
      </c>
      <c r="W504" s="1">
        <f t="shared" ca="1" si="59"/>
        <v>6</v>
      </c>
      <c r="X504" s="1">
        <v>4.3099999999999996</v>
      </c>
      <c r="Y504" s="1" t="str">
        <f t="shared" si="60"/>
        <v>Stage II</v>
      </c>
      <c r="Z504" s="10">
        <f t="shared" si="61"/>
        <v>23641.55</v>
      </c>
    </row>
    <row r="505" spans="1:26">
      <c r="A505" s="1" t="s">
        <v>372</v>
      </c>
      <c r="B505" s="1">
        <v>77</v>
      </c>
      <c r="C505" s="1" t="s">
        <v>543</v>
      </c>
      <c r="D505" s="1" t="str">
        <f>PROPER(Table3[[#This Row],[Gender]])</f>
        <v>Female</v>
      </c>
      <c r="E505" s="1" t="s">
        <v>554</v>
      </c>
      <c r="F505" s="1" t="str">
        <f>PROPER(Table3[[#This Row],[Country_Region]])</f>
        <v>Brazil</v>
      </c>
      <c r="G505" s="1">
        <v>2023</v>
      </c>
      <c r="H505" s="1">
        <v>0.2</v>
      </c>
      <c r="I505" s="1">
        <f>IF(H505="", AVERAGEIF('CLEANED DATASET'!$G$2:$G$532,G505,'CLEANED DATASET'!$H364),H505)</f>
        <v>0.2</v>
      </c>
      <c r="J505" s="1">
        <v>3.5</v>
      </c>
      <c r="K505" s="1">
        <f t="shared" si="55"/>
        <v>3.5</v>
      </c>
      <c r="L505" s="1">
        <v>8.9</v>
      </c>
      <c r="M505" s="1">
        <f t="shared" si="56"/>
        <v>8.9</v>
      </c>
      <c r="N505" s="1"/>
      <c r="O505" s="3">
        <f t="shared" si="57"/>
        <v>4.93</v>
      </c>
      <c r="P505" s="1">
        <v>4.8</v>
      </c>
      <c r="Q505" s="1">
        <f t="shared" si="63"/>
        <v>4.8</v>
      </c>
      <c r="R505" s="1" t="s">
        <v>574</v>
      </c>
      <c r="S505" s="1" t="str">
        <f>PROPER(Table3[[#This Row],[Cancer_Type]])</f>
        <v>Colon</v>
      </c>
      <c r="T505" s="1" t="s">
        <v>593</v>
      </c>
      <c r="U505" s="4">
        <v>58384.38</v>
      </c>
      <c r="V505" s="1">
        <v>4.9000000000000004</v>
      </c>
      <c r="W505" s="1">
        <f t="shared" ca="1" si="59"/>
        <v>8</v>
      </c>
      <c r="X505" s="1">
        <v>3.77</v>
      </c>
      <c r="Y505" s="1" t="str">
        <f t="shared" si="60"/>
        <v>Stage I</v>
      </c>
      <c r="Z505" s="10">
        <f t="shared" si="61"/>
        <v>58384.38</v>
      </c>
    </row>
    <row r="506" spans="1:26">
      <c r="A506" s="1" t="s">
        <v>35</v>
      </c>
      <c r="B506" s="1">
        <v>69</v>
      </c>
      <c r="C506" s="1" t="s">
        <v>544</v>
      </c>
      <c r="D506" s="1" t="str">
        <f>PROPER(Table3[[#This Row],[Gender]])</f>
        <v>Other</v>
      </c>
      <c r="E506" s="1" t="s">
        <v>555</v>
      </c>
      <c r="F506" s="1" t="str">
        <f>PROPER(Table3[[#This Row],[Country_Region]])</f>
        <v>Russia</v>
      </c>
      <c r="G506" s="1">
        <v>2023</v>
      </c>
      <c r="H506" s="1">
        <v>5.4</v>
      </c>
      <c r="I506" s="1">
        <f>IF(H506="", AVERAGEIF('CLEANED DATASET'!$G$2:$G$532,G506,'CLEANED DATASET'!$H27),H506)</f>
        <v>5.4</v>
      </c>
      <c r="J506" s="1">
        <v>6.6</v>
      </c>
      <c r="K506" s="1">
        <f t="shared" si="55"/>
        <v>6.6</v>
      </c>
      <c r="L506" s="1">
        <v>4.5999999999999996</v>
      </c>
      <c r="M506" s="1">
        <f t="shared" si="56"/>
        <v>4.5999999999999996</v>
      </c>
      <c r="N506" s="1">
        <v>6.8</v>
      </c>
      <c r="O506" s="1">
        <f t="shared" si="57"/>
        <v>6.8</v>
      </c>
      <c r="P506" s="1"/>
      <c r="Q506" s="3">
        <f t="shared" si="63"/>
        <v>4.51</v>
      </c>
      <c r="R506" s="1" t="s">
        <v>576</v>
      </c>
      <c r="S506" s="1" t="str">
        <f>PROPER(Table3[[#This Row],[Cancer_Type]])</f>
        <v>Cervical</v>
      </c>
      <c r="T506" s="1" t="s">
        <v>593</v>
      </c>
      <c r="U506" s="4">
        <v>59507.92</v>
      </c>
      <c r="V506" s="1">
        <v>8.9</v>
      </c>
      <c r="W506" s="1">
        <f t="shared" ca="1" si="59"/>
        <v>5</v>
      </c>
      <c r="X506" s="1">
        <v>5.44</v>
      </c>
      <c r="Y506" s="1" t="str">
        <f t="shared" si="60"/>
        <v>Stage II</v>
      </c>
      <c r="Z506" s="10">
        <f t="shared" si="61"/>
        <v>59507.92</v>
      </c>
    </row>
    <row r="507" spans="1:26">
      <c r="A507" s="1" t="s">
        <v>43</v>
      </c>
      <c r="B507" s="1">
        <v>36</v>
      </c>
      <c r="C507" s="1" t="s">
        <v>542</v>
      </c>
      <c r="D507" s="1" t="str">
        <f>PROPER(Table3[[#This Row],[Gender]])</f>
        <v>Male</v>
      </c>
      <c r="E507" s="1" t="s">
        <v>556</v>
      </c>
      <c r="F507" s="1" t="str">
        <f>PROPER(Table3[[#This Row],[Country_Region]])</f>
        <v>India</v>
      </c>
      <c r="G507" s="1">
        <v>2024</v>
      </c>
      <c r="H507" s="1">
        <v>9.8000000000000007</v>
      </c>
      <c r="I507" s="1">
        <f>IF(H507="", AVERAGEIF('CLEANED DATASET'!$G$2:$G$532,G507,'CLEANED DATASET'!$H35),H507)</f>
        <v>9.8000000000000007</v>
      </c>
      <c r="J507" s="1">
        <v>7.2</v>
      </c>
      <c r="K507" s="1">
        <f t="shared" si="55"/>
        <v>7.2</v>
      </c>
      <c r="L507" s="1">
        <v>1.2</v>
      </c>
      <c r="M507" s="1">
        <f t="shared" si="56"/>
        <v>1.2</v>
      </c>
      <c r="N507" s="1">
        <v>3.5</v>
      </c>
      <c r="O507" s="1">
        <f t="shared" si="57"/>
        <v>3.5</v>
      </c>
      <c r="P507" s="1">
        <v>6.1</v>
      </c>
      <c r="Q507" s="1">
        <f t="shared" si="63"/>
        <v>6.1</v>
      </c>
      <c r="R507" s="1" t="s">
        <v>571</v>
      </c>
      <c r="S507" s="1" t="str">
        <f>PROPER(Table3[[#This Row],[Cancer_Type]])</f>
        <v>Lung</v>
      </c>
      <c r="T507" s="1" t="s">
        <v>594</v>
      </c>
      <c r="U507" s="4">
        <v>87797.95</v>
      </c>
      <c r="V507" s="1">
        <v>7.4</v>
      </c>
      <c r="W507" s="1">
        <f t="shared" ca="1" si="59"/>
        <v>6</v>
      </c>
      <c r="X507" s="1">
        <v>4.7699999999999996</v>
      </c>
      <c r="Y507" s="1" t="str">
        <f t="shared" si="60"/>
        <v>Stage II</v>
      </c>
      <c r="Z507" s="10">
        <f t="shared" si="61"/>
        <v>87797.95</v>
      </c>
    </row>
    <row r="508" spans="1:26">
      <c r="A508" s="1" t="s">
        <v>56</v>
      </c>
      <c r="B508" s="1">
        <v>77</v>
      </c>
      <c r="C508" s="1" t="s">
        <v>541</v>
      </c>
      <c r="D508" s="1" t="str">
        <f>PROPER(Table3[[#This Row],[Gender]])</f>
        <v>Other</v>
      </c>
      <c r="E508" s="1" t="s">
        <v>554</v>
      </c>
      <c r="F508" s="1" t="str">
        <f>PROPER(Table3[[#This Row],[Country_Region]])</f>
        <v>Brazil</v>
      </c>
      <c r="G508" s="1">
        <v>2022</v>
      </c>
      <c r="H508" s="1">
        <v>9.9</v>
      </c>
      <c r="I508" s="1">
        <f>IF(H508="", AVERAGEIF('CLEANED DATASET'!$G$2:$G$532,G508,'CLEANED DATASET'!$H48),H508)</f>
        <v>9.9</v>
      </c>
      <c r="J508" s="1">
        <v>4.9000000000000004</v>
      </c>
      <c r="K508" s="1">
        <f t="shared" si="55"/>
        <v>4.9000000000000004</v>
      </c>
      <c r="L508" s="1">
        <v>5.2</v>
      </c>
      <c r="M508" s="1">
        <f t="shared" si="56"/>
        <v>5.2</v>
      </c>
      <c r="N508" s="1">
        <v>1.1000000000000001</v>
      </c>
      <c r="O508" s="1">
        <f t="shared" si="57"/>
        <v>1.1000000000000001</v>
      </c>
      <c r="P508" s="1">
        <v>9.6</v>
      </c>
      <c r="Q508" s="1">
        <f t="shared" si="63"/>
        <v>9.6</v>
      </c>
      <c r="R508" s="1" t="s">
        <v>571</v>
      </c>
      <c r="S508" s="1" t="str">
        <f>PROPER(Table3[[#This Row],[Cancer_Type]])</f>
        <v>Lung</v>
      </c>
      <c r="T508" s="1" t="s">
        <v>591</v>
      </c>
      <c r="U508" s="4">
        <v>49753.31</v>
      </c>
      <c r="V508" s="1">
        <v>2.2999999999999998</v>
      </c>
      <c r="W508" s="1">
        <f t="shared" ca="1" si="59"/>
        <v>5</v>
      </c>
      <c r="X508" s="1">
        <v>5.68</v>
      </c>
      <c r="Y508" s="1" t="str">
        <f t="shared" si="60"/>
        <v>Stage II</v>
      </c>
      <c r="Z508" s="10">
        <f t="shared" si="61"/>
        <v>49753.31</v>
      </c>
    </row>
    <row r="509" spans="1:26">
      <c r="A509" s="1" t="s">
        <v>289</v>
      </c>
      <c r="B509" s="1">
        <v>47</v>
      </c>
      <c r="C509" s="1" t="s">
        <v>542</v>
      </c>
      <c r="D509" s="1" t="str">
        <f>PROPER(Table3[[#This Row],[Gender]])</f>
        <v>Male</v>
      </c>
      <c r="E509" s="1" t="s">
        <v>556</v>
      </c>
      <c r="F509" s="1" t="str">
        <f>PROPER(Table3[[#This Row],[Country_Region]])</f>
        <v>India</v>
      </c>
      <c r="G509" s="1">
        <v>2024</v>
      </c>
      <c r="H509" s="1">
        <v>1.9</v>
      </c>
      <c r="I509" s="1">
        <f>IF(H509="", AVERAGEIF('CLEANED DATASET'!$G$2:$G$532,G509,'CLEANED DATASET'!$H281),H509)</f>
        <v>1.9</v>
      </c>
      <c r="J509" s="1">
        <v>9.9</v>
      </c>
      <c r="K509" s="1">
        <f t="shared" si="55"/>
        <v>9.9</v>
      </c>
      <c r="L509" s="1">
        <v>7.8</v>
      </c>
      <c r="M509" s="1">
        <f t="shared" si="56"/>
        <v>7.8</v>
      </c>
      <c r="N509" s="1">
        <v>0</v>
      </c>
      <c r="O509" s="1">
        <f t="shared" si="57"/>
        <v>0</v>
      </c>
      <c r="P509" s="1">
        <v>9.3000000000000007</v>
      </c>
      <c r="Q509" s="1">
        <f t="shared" si="63"/>
        <v>9.3000000000000007</v>
      </c>
      <c r="R509" s="1" t="s">
        <v>578</v>
      </c>
      <c r="S509" s="1" t="str">
        <f>PROPER(Table3[[#This Row],[Cancer_Type]])</f>
        <v>Liver</v>
      </c>
      <c r="T509" s="1" t="s">
        <v>594</v>
      </c>
      <c r="U509" s="4">
        <v>25364.95</v>
      </c>
      <c r="V509" s="1">
        <v>2.7</v>
      </c>
      <c r="W509" s="1">
        <f t="shared" ca="1" si="59"/>
        <v>6</v>
      </c>
      <c r="X509" s="1">
        <v>5.46</v>
      </c>
      <c r="Y509" s="1" t="str">
        <f t="shared" si="60"/>
        <v>Stage II</v>
      </c>
      <c r="Z509" s="10">
        <f t="shared" si="61"/>
        <v>25364.95</v>
      </c>
    </row>
    <row r="510" spans="1:26">
      <c r="A510" s="1" t="s">
        <v>114</v>
      </c>
      <c r="B510" s="1">
        <v>59</v>
      </c>
      <c r="C510" s="1" t="s">
        <v>541</v>
      </c>
      <c r="D510" s="1" t="str">
        <f>PROPER(Table3[[#This Row],[Gender]])</f>
        <v>Other</v>
      </c>
      <c r="E510" s="1" t="s">
        <v>552</v>
      </c>
      <c r="F510" s="1" t="str">
        <f>PROPER(Table3[[#This Row],[Country_Region]])</f>
        <v>China</v>
      </c>
      <c r="G510" s="1">
        <v>2024</v>
      </c>
      <c r="H510" s="1">
        <v>2.6</v>
      </c>
      <c r="I510" s="1">
        <f>IF(H510="", AVERAGEIF('CLEANED DATASET'!$G$2:$G$532,G510,'CLEANED DATASET'!$H106),H510)</f>
        <v>2.6</v>
      </c>
      <c r="J510" s="1">
        <v>0.2</v>
      </c>
      <c r="K510" s="1">
        <f t="shared" si="55"/>
        <v>0.2</v>
      </c>
      <c r="L510" s="1">
        <v>4.0999999999999996</v>
      </c>
      <c r="M510" s="1">
        <f t="shared" si="56"/>
        <v>4.0999999999999996</v>
      </c>
      <c r="N510" s="1"/>
      <c r="O510" s="3">
        <f t="shared" si="57"/>
        <v>3.6500000000000004</v>
      </c>
      <c r="P510" s="1">
        <v>3.5</v>
      </c>
      <c r="Q510" s="1">
        <f t="shared" si="63"/>
        <v>3.5</v>
      </c>
      <c r="R510" s="1" t="s">
        <v>574</v>
      </c>
      <c r="S510" s="1" t="str">
        <f>PROPER(Table3[[#This Row],[Cancer_Type]])</f>
        <v>Colon</v>
      </c>
      <c r="T510" s="1" t="s">
        <v>594</v>
      </c>
      <c r="U510" s="4">
        <v>97082.27</v>
      </c>
      <c r="V510" s="1">
        <v>2.2000000000000002</v>
      </c>
      <c r="W510" s="1">
        <f t="shared" ca="1" si="59"/>
        <v>10</v>
      </c>
      <c r="X510" s="1">
        <v>1.65</v>
      </c>
      <c r="Y510" s="1" t="str">
        <f t="shared" si="60"/>
        <v>Stage 0</v>
      </c>
      <c r="Z510" s="10">
        <f t="shared" si="61"/>
        <v>97082.27</v>
      </c>
    </row>
    <row r="511" spans="1:26">
      <c r="A511" s="1" t="s">
        <v>514</v>
      </c>
      <c r="B511" s="1">
        <v>82</v>
      </c>
      <c r="C511" s="1" t="s">
        <v>543</v>
      </c>
      <c r="D511" s="1" t="str">
        <f>PROPER(Table3[[#This Row],[Gender]])</f>
        <v>Female</v>
      </c>
      <c r="E511" s="1" t="s">
        <v>630</v>
      </c>
      <c r="F511" s="1" t="str">
        <f>PROPER(Table3[[#This Row],[Country_Region]])</f>
        <v>Russia</v>
      </c>
      <c r="G511" s="1">
        <v>2024</v>
      </c>
      <c r="H511" s="1">
        <v>1.4</v>
      </c>
      <c r="I511" s="1">
        <f>IF(H511="", AVERAGEIF('CLEANED DATASET'!$G$2:$G$532,G511,'CLEANED DATASET'!$H506),H511)</f>
        <v>1.4</v>
      </c>
      <c r="J511" s="1">
        <v>2.7</v>
      </c>
      <c r="K511" s="1">
        <f t="shared" si="55"/>
        <v>2.7</v>
      </c>
      <c r="L511" s="1">
        <v>0.8</v>
      </c>
      <c r="M511" s="1">
        <f t="shared" si="56"/>
        <v>0.8</v>
      </c>
      <c r="N511" s="1">
        <v>1.7</v>
      </c>
      <c r="O511" s="1">
        <f t="shared" si="57"/>
        <v>1.7</v>
      </c>
      <c r="P511" s="1">
        <v>6.5</v>
      </c>
      <c r="Q511" s="1">
        <f t="shared" si="63"/>
        <v>6.5</v>
      </c>
      <c r="R511" s="1" t="s">
        <v>579</v>
      </c>
      <c r="S511" s="1" t="str">
        <f>PROPER(Table3[[#This Row],[Cancer_Type]])</f>
        <v>Prostate</v>
      </c>
      <c r="T511" s="1" t="s">
        <v>594</v>
      </c>
      <c r="U511" s="4">
        <v>72662.36</v>
      </c>
      <c r="V511" s="1">
        <v>0.4</v>
      </c>
      <c r="W511" s="1">
        <f t="shared" ca="1" si="59"/>
        <v>7</v>
      </c>
      <c r="X511" s="1">
        <v>2.34</v>
      </c>
      <c r="Y511" s="1" t="str">
        <f t="shared" si="60"/>
        <v>Stage I</v>
      </c>
      <c r="Z511" s="10">
        <f t="shared" si="61"/>
        <v>72662.36</v>
      </c>
    </row>
    <row r="512" spans="1:26">
      <c r="A512" s="1" t="s">
        <v>106</v>
      </c>
      <c r="B512" s="1">
        <v>87</v>
      </c>
      <c r="C512" s="1" t="s">
        <v>543</v>
      </c>
      <c r="D512" s="1" t="str">
        <f>PROPER(Table3[[#This Row],[Gender]])</f>
        <v>Female</v>
      </c>
      <c r="E512" s="1" t="s">
        <v>548</v>
      </c>
      <c r="F512" s="1" t="str">
        <f>PROPER(Table3[[#This Row],[Country_Region]])</f>
        <v>Uk</v>
      </c>
      <c r="G512" s="1">
        <v>2023</v>
      </c>
      <c r="H512" s="1">
        <v>2.4</v>
      </c>
      <c r="I512" s="1">
        <f>IF(H512="", AVERAGEIF('CLEANED DATASET'!$G$2:$G$532,G512,'CLEANED DATASET'!$H98),H512)</f>
        <v>2.4</v>
      </c>
      <c r="J512" s="1">
        <v>3.1</v>
      </c>
      <c r="K512" s="1">
        <f t="shared" si="55"/>
        <v>3.1</v>
      </c>
      <c r="L512" s="1">
        <v>7.7</v>
      </c>
      <c r="M512" s="1">
        <f t="shared" si="56"/>
        <v>7.7</v>
      </c>
      <c r="N512" s="1"/>
      <c r="O512" s="3">
        <f t="shared" si="57"/>
        <v>4.7222222222222223</v>
      </c>
      <c r="P512" s="1">
        <v>6.9</v>
      </c>
      <c r="Q512" s="1">
        <f t="shared" si="63"/>
        <v>6.9</v>
      </c>
      <c r="R512" s="1" t="s">
        <v>574</v>
      </c>
      <c r="S512" s="1" t="str">
        <f>PROPER(Table3[[#This Row],[Cancer_Type]])</f>
        <v>Colon</v>
      </c>
      <c r="T512" s="1" t="s">
        <v>590</v>
      </c>
      <c r="U512" s="4">
        <v>35406.300000000003</v>
      </c>
      <c r="V512" s="1">
        <v>7</v>
      </c>
      <c r="W512" s="1">
        <f t="shared" ca="1" si="59"/>
        <v>6</v>
      </c>
      <c r="X512" s="1">
        <v>5</v>
      </c>
      <c r="Y512" s="1" t="str">
        <f t="shared" si="60"/>
        <v>Stage II</v>
      </c>
      <c r="Z512" s="10">
        <f t="shared" si="61"/>
        <v>35406.300000000003</v>
      </c>
    </row>
    <row r="513" spans="1:28">
      <c r="A513" s="1" t="s">
        <v>316</v>
      </c>
      <c r="B513" s="1">
        <v>73</v>
      </c>
      <c r="C513" s="1" t="s">
        <v>543</v>
      </c>
      <c r="D513" s="1" t="str">
        <f>PROPER(Table3[[#This Row],[Gender]])</f>
        <v>Female</v>
      </c>
      <c r="E513" s="1" t="s">
        <v>556</v>
      </c>
      <c r="F513" s="1" t="str">
        <f>PROPER(Table3[[#This Row],[Country_Region]])</f>
        <v>India</v>
      </c>
      <c r="G513" s="1">
        <v>2023</v>
      </c>
      <c r="H513" s="1">
        <v>7.9</v>
      </c>
      <c r="I513" s="1">
        <f>IF(H513="", AVERAGEIF('CLEANED DATASET'!$G$2:$G$532,G513,'CLEANED DATASET'!$H308),H513)</f>
        <v>7.9</v>
      </c>
      <c r="J513" s="1">
        <v>0</v>
      </c>
      <c r="K513" s="1">
        <f t="shared" si="55"/>
        <v>0</v>
      </c>
      <c r="L513" s="1">
        <v>8</v>
      </c>
      <c r="M513" s="1">
        <f t="shared" si="56"/>
        <v>8</v>
      </c>
      <c r="N513" s="1">
        <v>6.2</v>
      </c>
      <c r="O513" s="1">
        <f t="shared" si="57"/>
        <v>6.2</v>
      </c>
      <c r="P513" s="1">
        <v>7.7</v>
      </c>
      <c r="Q513" s="1">
        <f t="shared" si="63"/>
        <v>7.7</v>
      </c>
      <c r="R513" s="1" t="s">
        <v>578</v>
      </c>
      <c r="S513" s="1" t="str">
        <f>PROPER(Table3[[#This Row],[Cancer_Type]])</f>
        <v>Liver</v>
      </c>
      <c r="T513" s="1" t="s">
        <v>594</v>
      </c>
      <c r="U513" s="4">
        <v>74418.67</v>
      </c>
      <c r="V513" s="1">
        <v>0.4</v>
      </c>
      <c r="W513" s="1">
        <f t="shared" ca="1" si="59"/>
        <v>5</v>
      </c>
      <c r="X513" s="1">
        <v>5.3</v>
      </c>
      <c r="Y513" s="1" t="str">
        <f t="shared" si="60"/>
        <v>Stage II</v>
      </c>
      <c r="Z513" s="10">
        <f t="shared" si="61"/>
        <v>74418.67</v>
      </c>
    </row>
    <row r="514" spans="1:28">
      <c r="A514" s="1" t="s">
        <v>376</v>
      </c>
      <c r="B514" s="1">
        <v>41</v>
      </c>
      <c r="C514" s="1" t="s">
        <v>543</v>
      </c>
      <c r="D514" s="1" t="str">
        <f>PROPER(Table3[[#This Row],[Gender]])</f>
        <v>Female</v>
      </c>
      <c r="E514" s="1" t="s">
        <v>639</v>
      </c>
      <c r="F514" s="1" t="str">
        <f>PROPER(Table3[[#This Row],[Country_Region]])</f>
        <v>Pakistan</v>
      </c>
      <c r="G514" s="1">
        <v>2023</v>
      </c>
      <c r="H514" s="1">
        <v>5</v>
      </c>
      <c r="I514" s="1">
        <f>IF(H514="", AVERAGEIF('CLEANED DATASET'!$G$2:$G$532,G514,'CLEANED DATASET'!$H368),H514)</f>
        <v>5</v>
      </c>
      <c r="J514" s="1">
        <v>1.8</v>
      </c>
      <c r="K514" s="1">
        <f t="shared" ref="K514:K532" si="64">IF(J514="",ROUND(AVERAGEIF(G518:G1044,G514,J514:J1044),1),J514)</f>
        <v>1.8</v>
      </c>
      <c r="L514" s="1">
        <v>0.3</v>
      </c>
      <c r="M514" s="1">
        <f t="shared" ref="M514:M532" si="65">IF(L514="", AVERAGEIF(G514:G1044, G514,L514:L1044),L514)</f>
        <v>0.3</v>
      </c>
      <c r="N514" s="1">
        <v>7.9</v>
      </c>
      <c r="O514" s="1">
        <f t="shared" ref="O514:O532" si="66">IF(N514="",AVERAGEIF(G514:G1044,G514,N514:N1044),N514)</f>
        <v>7.9</v>
      </c>
      <c r="P514" s="1">
        <v>0.1</v>
      </c>
      <c r="Q514" s="1">
        <f t="shared" si="63"/>
        <v>0.1</v>
      </c>
      <c r="R514" s="1" t="s">
        <v>570</v>
      </c>
      <c r="S514" s="1" t="str">
        <f>PROPER(Table3[[#This Row],[Cancer_Type]])</f>
        <v>Skin</v>
      </c>
      <c r="T514" s="1" t="s">
        <v>593</v>
      </c>
      <c r="U514" s="4">
        <v>34663.19</v>
      </c>
      <c r="V514" s="1">
        <v>7.7</v>
      </c>
      <c r="W514" s="1">
        <f t="shared" ref="W514:W532" ca="1" si="67">IF(Y514="Stage 0",RANDBETWEEN(9,10),
IF(Y514="Stage I",RANDBETWEEN(7,8),
IF(Y514="Stage II",RANDBETWEEN(5,6),
IF(Y514="Stage III",RANDBETWEEN(3,4),
IF(Y514="Stage IV",RANDBETWEEN(1,2),"")))))</f>
        <v>5</v>
      </c>
      <c r="X514" s="1">
        <v>4.21</v>
      </c>
      <c r="Y514" s="1" t="str">
        <f t="shared" ref="Y514:Y532" si="68">IF(X514&lt;=2,"Stage 0",IF(X514&lt;=4,"Stage I",IF(X514&lt;=6,"Stage II",IF(X514&lt;=8,"Stage III", "Stage IV"))))</f>
        <v>Stage II</v>
      </c>
      <c r="Z514" s="10">
        <f t="shared" si="61"/>
        <v>34663.19</v>
      </c>
    </row>
    <row r="515" spans="1:28">
      <c r="A515" s="1" t="s">
        <v>367</v>
      </c>
      <c r="B515" s="1">
        <v>58</v>
      </c>
      <c r="C515" s="1" t="s">
        <v>542</v>
      </c>
      <c r="D515" s="1" t="str">
        <f>PROPER(Table3[[#This Row],[Gender]])</f>
        <v>Male</v>
      </c>
      <c r="E515" s="1" t="s">
        <v>551</v>
      </c>
      <c r="F515" s="1" t="str">
        <f>PROPER(Table3[[#This Row],[Country_Region]])</f>
        <v>Germany</v>
      </c>
      <c r="G515" s="1">
        <v>2022</v>
      </c>
      <c r="H515" s="1">
        <v>5.2</v>
      </c>
      <c r="I515" s="1">
        <f>IF(H515="", AVERAGEIF('CLEANED DATASET'!$G$2:$G$532,G515,'CLEANED DATASET'!$H359),H515)</f>
        <v>5.2</v>
      </c>
      <c r="J515" s="1">
        <v>3</v>
      </c>
      <c r="K515" s="1">
        <f t="shared" si="64"/>
        <v>3</v>
      </c>
      <c r="L515" s="1">
        <v>2.8</v>
      </c>
      <c r="M515" s="1">
        <f t="shared" si="65"/>
        <v>2.8</v>
      </c>
      <c r="N515" s="1">
        <v>0.5</v>
      </c>
      <c r="O515" s="1">
        <f t="shared" si="66"/>
        <v>0.5</v>
      </c>
      <c r="P515" s="1">
        <v>6.1</v>
      </c>
      <c r="Q515" s="1">
        <f t="shared" si="63"/>
        <v>6.1</v>
      </c>
      <c r="R515" s="1" t="s">
        <v>574</v>
      </c>
      <c r="S515" s="1" t="str">
        <f>PROPER(Table3[[#This Row],[Cancer_Type]])</f>
        <v>Colon</v>
      </c>
      <c r="T515" s="1" t="s">
        <v>593</v>
      </c>
      <c r="U515" s="4">
        <v>75295.27</v>
      </c>
      <c r="V515" s="1">
        <v>3.6</v>
      </c>
      <c r="W515" s="1">
        <f t="shared" ca="1" si="67"/>
        <v>8</v>
      </c>
      <c r="X515" s="1">
        <v>3.11</v>
      </c>
      <c r="Y515" s="1" t="str">
        <f t="shared" si="68"/>
        <v>Stage I</v>
      </c>
      <c r="Z515" s="10">
        <f t="shared" si="61"/>
        <v>75295.27</v>
      </c>
    </row>
    <row r="516" spans="1:28">
      <c r="A516" s="1" t="s">
        <v>65</v>
      </c>
      <c r="B516" s="1">
        <v>41</v>
      </c>
      <c r="C516" s="1" t="s">
        <v>541</v>
      </c>
      <c r="D516" s="1" t="str">
        <f>PROPER(Table3[[#This Row],[Gender]])</f>
        <v>Other</v>
      </c>
      <c r="E516" s="1" t="s">
        <v>548</v>
      </c>
      <c r="F516" s="1" t="str">
        <f>PROPER(Table3[[#This Row],[Country_Region]])</f>
        <v>Uk</v>
      </c>
      <c r="G516" s="1">
        <v>2023</v>
      </c>
      <c r="H516" s="1">
        <v>2.4</v>
      </c>
      <c r="I516" s="1">
        <f>IF(H516="", AVERAGEIF('CLEANED DATASET'!$G$2:$G$532,G516,'CLEANED DATASET'!$H57),H516)</f>
        <v>2.4</v>
      </c>
      <c r="J516" s="1">
        <v>5.7</v>
      </c>
      <c r="K516" s="1">
        <f t="shared" si="64"/>
        <v>5.7</v>
      </c>
      <c r="L516" s="1">
        <v>0.7</v>
      </c>
      <c r="M516" s="1">
        <f t="shared" si="65"/>
        <v>0.7</v>
      </c>
      <c r="N516" s="1">
        <v>0</v>
      </c>
      <c r="O516" s="1">
        <f t="shared" si="66"/>
        <v>0</v>
      </c>
      <c r="P516" s="1">
        <v>1.1000000000000001</v>
      </c>
      <c r="Q516" s="1">
        <f t="shared" si="63"/>
        <v>1.1000000000000001</v>
      </c>
      <c r="R516" s="1" t="s">
        <v>574</v>
      </c>
      <c r="S516" s="1" t="str">
        <f>PROPER(Table3[[#This Row],[Cancer_Type]])</f>
        <v>Colon</v>
      </c>
      <c r="T516" s="1" t="s">
        <v>593</v>
      </c>
      <c r="U516" s="4">
        <v>69244.44</v>
      </c>
      <c r="V516" s="1">
        <v>1.9</v>
      </c>
      <c r="W516" s="1">
        <f t="shared" ca="1" si="67"/>
        <v>8</v>
      </c>
      <c r="X516" s="1">
        <v>2.17</v>
      </c>
      <c r="Y516" s="1" t="str">
        <f t="shared" si="68"/>
        <v>Stage I</v>
      </c>
      <c r="Z516" s="10">
        <f t="shared" si="61"/>
        <v>69244.44</v>
      </c>
    </row>
    <row r="517" spans="1:28">
      <c r="A517" s="1" t="s">
        <v>64</v>
      </c>
      <c r="B517" s="1">
        <v>46</v>
      </c>
      <c r="C517" s="1" t="s">
        <v>541</v>
      </c>
      <c r="D517" s="1" t="str">
        <f>PROPER(Table3[[#This Row],[Gender]])</f>
        <v>Other</v>
      </c>
      <c r="E517" s="1" t="s">
        <v>555</v>
      </c>
      <c r="F517" s="1" t="str">
        <f>PROPER(Table3[[#This Row],[Country_Region]])</f>
        <v>Russia</v>
      </c>
      <c r="G517" s="1">
        <v>2022</v>
      </c>
      <c r="H517" s="1">
        <v>6.3</v>
      </c>
      <c r="I517" s="1">
        <f>IF(H517="", AVERAGEIF('CLEANED DATASET'!$G$2:$G$532,G517,'CLEANED DATASET'!$H56),H517)</f>
        <v>6.3</v>
      </c>
      <c r="J517" s="1">
        <v>0.3</v>
      </c>
      <c r="K517" s="1">
        <f t="shared" si="64"/>
        <v>0.3</v>
      </c>
      <c r="L517" s="1">
        <v>4.2</v>
      </c>
      <c r="M517" s="1">
        <f t="shared" si="65"/>
        <v>4.2</v>
      </c>
      <c r="N517" s="1">
        <v>7.9</v>
      </c>
      <c r="O517" s="1">
        <f t="shared" si="66"/>
        <v>7.9</v>
      </c>
      <c r="P517" s="1">
        <v>8.3000000000000007</v>
      </c>
      <c r="Q517" s="1">
        <f t="shared" si="63"/>
        <v>8.3000000000000007</v>
      </c>
      <c r="R517" s="1" t="s">
        <v>576</v>
      </c>
      <c r="S517" s="1" t="str">
        <f>PROPER(Table3[[#This Row],[Cancer_Type]])</f>
        <v>Cervical</v>
      </c>
      <c r="T517" s="1" t="s">
        <v>590</v>
      </c>
      <c r="U517" s="4">
        <v>60523.31</v>
      </c>
      <c r="V517" s="1">
        <v>0.1</v>
      </c>
      <c r="W517" s="1">
        <f t="shared" ca="1" si="67"/>
        <v>5</v>
      </c>
      <c r="X517" s="1">
        <v>5.13</v>
      </c>
      <c r="Y517" s="1" t="str">
        <f t="shared" si="68"/>
        <v>Stage II</v>
      </c>
      <c r="Z517" s="10">
        <f t="shared" si="61"/>
        <v>60523.31</v>
      </c>
    </row>
    <row r="518" spans="1:28">
      <c r="A518" s="1" t="s">
        <v>216</v>
      </c>
      <c r="B518" s="1">
        <v>25</v>
      </c>
      <c r="C518" s="1" t="s">
        <v>543</v>
      </c>
      <c r="D518" s="1" t="str">
        <f>PROPER(Table3[[#This Row],[Gender]])</f>
        <v>Female</v>
      </c>
      <c r="E518" s="1" t="s">
        <v>560</v>
      </c>
      <c r="F518" s="1" t="str">
        <f>PROPER(Table3[[#This Row],[Country_Region]])</f>
        <v>Usa</v>
      </c>
      <c r="G518" s="1">
        <v>2023</v>
      </c>
      <c r="H518" s="1">
        <v>9.6999999999999993</v>
      </c>
      <c r="I518" s="1">
        <f>IF(H518="", AVERAGEIF('CLEANED DATASET'!$G$2:$G$532,G518,'CLEANED DATASET'!$H208),H518)</f>
        <v>9.6999999999999993</v>
      </c>
      <c r="J518" s="1">
        <v>7.9</v>
      </c>
      <c r="K518" s="1">
        <f t="shared" si="64"/>
        <v>7.9</v>
      </c>
      <c r="L518" s="1">
        <v>1.6</v>
      </c>
      <c r="M518" s="1">
        <f t="shared" si="65"/>
        <v>1.6</v>
      </c>
      <c r="N518" s="1">
        <v>8.6999999999999993</v>
      </c>
      <c r="O518" s="1">
        <f t="shared" si="66"/>
        <v>8.6999999999999993</v>
      </c>
      <c r="P518" s="1">
        <v>6.3</v>
      </c>
      <c r="Q518" s="1">
        <f t="shared" si="63"/>
        <v>6.3</v>
      </c>
      <c r="R518" s="1" t="s">
        <v>603</v>
      </c>
      <c r="S518" s="1" t="str">
        <f>PROPER(Table3[[#This Row],[Cancer_Type]])</f>
        <v>Unknown</v>
      </c>
      <c r="T518" s="1" t="s">
        <v>592</v>
      </c>
      <c r="U518" s="4">
        <v>76977.31</v>
      </c>
      <c r="V518" s="1">
        <v>0.6</v>
      </c>
      <c r="W518" s="1">
        <f t="shared" ca="1" si="67"/>
        <v>3</v>
      </c>
      <c r="X518" s="1">
        <v>6.2</v>
      </c>
      <c r="Y518" s="1" t="str">
        <f t="shared" si="68"/>
        <v>Stage III</v>
      </c>
      <c r="Z518" s="10">
        <f t="shared" si="61"/>
        <v>76977.31</v>
      </c>
    </row>
    <row r="519" spans="1:28">
      <c r="A519" s="1" t="s">
        <v>197</v>
      </c>
      <c r="B519" s="1">
        <v>76</v>
      </c>
      <c r="C519" s="1" t="s">
        <v>541</v>
      </c>
      <c r="D519" s="1" t="str">
        <f>PROPER(Table3[[#This Row],[Gender]])</f>
        <v>Other</v>
      </c>
      <c r="E519" s="1" t="s">
        <v>550</v>
      </c>
      <c r="F519" s="1" t="str">
        <f>PROPER(Table3[[#This Row],[Country_Region]])</f>
        <v>Pakistan</v>
      </c>
      <c r="G519" s="1">
        <v>2024</v>
      </c>
      <c r="H519" s="1">
        <v>2.9</v>
      </c>
      <c r="I519" s="1">
        <f>IF(H519="", AVERAGEIF('CLEANED DATASET'!$G$2:$G$532,G519,'CLEANED DATASET'!$H189),H519)</f>
        <v>2.9</v>
      </c>
      <c r="J519" s="1">
        <v>9.6999999999999993</v>
      </c>
      <c r="K519" s="1">
        <f t="shared" si="64"/>
        <v>9.6999999999999993</v>
      </c>
      <c r="L519" s="1">
        <v>5.9</v>
      </c>
      <c r="M519" s="1">
        <f t="shared" si="65"/>
        <v>5.9</v>
      </c>
      <c r="N519" s="1">
        <v>4.3</v>
      </c>
      <c r="O519" s="1">
        <f t="shared" si="66"/>
        <v>4.3</v>
      </c>
      <c r="P519" s="1">
        <v>8.5</v>
      </c>
      <c r="Q519" s="1">
        <f t="shared" si="63"/>
        <v>8.5</v>
      </c>
      <c r="R519" s="1" t="s">
        <v>573</v>
      </c>
      <c r="S519" s="1" t="str">
        <f>PROPER(Table3[[#This Row],[Cancer_Type]])</f>
        <v>Breast</v>
      </c>
      <c r="T519" s="1" t="s">
        <v>590</v>
      </c>
      <c r="U519" s="4">
        <v>43116.02</v>
      </c>
      <c r="V519" s="1">
        <v>4.9000000000000004</v>
      </c>
      <c r="W519" s="1">
        <f t="shared" ca="1" si="67"/>
        <v>5</v>
      </c>
      <c r="X519" s="1">
        <v>5.77</v>
      </c>
      <c r="Y519" s="1" t="str">
        <f t="shared" si="68"/>
        <v>Stage II</v>
      </c>
      <c r="Z519" s="10">
        <f t="shared" si="61"/>
        <v>43116.02</v>
      </c>
    </row>
    <row r="520" spans="1:28">
      <c r="A520" s="1" t="s">
        <v>22</v>
      </c>
      <c r="B520" s="1">
        <v>47</v>
      </c>
      <c r="C520" s="1" t="s">
        <v>543</v>
      </c>
      <c r="D520" s="1" t="str">
        <f>PROPER(Table3[[#This Row],[Gender]])</f>
        <v>Female</v>
      </c>
      <c r="E520" s="1" t="s">
        <v>552</v>
      </c>
      <c r="F520" s="1" t="str">
        <f>PROPER(Table3[[#This Row],[Country_Region]])</f>
        <v>China</v>
      </c>
      <c r="G520" s="1">
        <v>2024</v>
      </c>
      <c r="H520" s="1">
        <v>3.9</v>
      </c>
      <c r="I520" s="1">
        <f>IF(H520="", AVERAGEIF('CLEANED DATASET'!$G$2:$G$532,G520,'CLEANED DATASET'!$H14),H520)</f>
        <v>3.9</v>
      </c>
      <c r="J520" s="1">
        <v>7.2</v>
      </c>
      <c r="K520" s="1">
        <f t="shared" si="64"/>
        <v>7.2</v>
      </c>
      <c r="L520" s="1">
        <v>3.4</v>
      </c>
      <c r="M520" s="1">
        <f t="shared" si="65"/>
        <v>3.4</v>
      </c>
      <c r="N520" s="1">
        <v>7</v>
      </c>
      <c r="O520" s="1">
        <f t="shared" si="66"/>
        <v>7</v>
      </c>
      <c r="P520" s="1">
        <v>4.5999999999999996</v>
      </c>
      <c r="Q520" s="1">
        <f t="shared" si="63"/>
        <v>4.5999999999999996</v>
      </c>
      <c r="R520" s="1" t="s">
        <v>576</v>
      </c>
      <c r="S520" s="1" t="str">
        <f>PROPER(Table3[[#This Row],[Cancer_Type]])</f>
        <v>Cervical</v>
      </c>
      <c r="T520" s="1" t="s">
        <v>592</v>
      </c>
      <c r="U520" s="4">
        <v>68837.740000000005</v>
      </c>
      <c r="V520" s="1">
        <v>9.1</v>
      </c>
      <c r="W520" s="1">
        <f t="shared" ca="1" si="67"/>
        <v>6</v>
      </c>
      <c r="X520" s="1">
        <v>4.8499999999999996</v>
      </c>
      <c r="Y520" s="1" t="str">
        <f t="shared" si="68"/>
        <v>Stage II</v>
      </c>
      <c r="Z520" s="10">
        <f t="shared" si="61"/>
        <v>68837.740000000005</v>
      </c>
      <c r="AA520" s="2"/>
    </row>
    <row r="521" spans="1:28">
      <c r="A521" s="1" t="s">
        <v>431</v>
      </c>
      <c r="B521" s="1">
        <v>58</v>
      </c>
      <c r="C521" s="1" t="s">
        <v>541</v>
      </c>
      <c r="D521" s="1" t="str">
        <f>PROPER(Table3[[#This Row],[Gender]])</f>
        <v>Other</v>
      </c>
      <c r="E521" s="1" t="s">
        <v>549</v>
      </c>
      <c r="F521" s="1" t="str">
        <f>PROPER(Table3[[#This Row],[Country_Region]])</f>
        <v>Australia</v>
      </c>
      <c r="G521" s="1">
        <v>2023</v>
      </c>
      <c r="H521" s="1">
        <v>4</v>
      </c>
      <c r="I521" s="1">
        <f>IF(H521="", AVERAGEIF('CLEANED DATASET'!$G$2:$G$532,G521,'CLEANED DATASET'!$H423),H521)</f>
        <v>4</v>
      </c>
      <c r="J521" s="1">
        <v>5.8</v>
      </c>
      <c r="K521" s="1">
        <f t="shared" si="64"/>
        <v>5.8</v>
      </c>
      <c r="L521" s="1">
        <v>4.7</v>
      </c>
      <c r="M521" s="1">
        <f t="shared" si="65"/>
        <v>4.7</v>
      </c>
      <c r="N521" s="1">
        <v>1.2</v>
      </c>
      <c r="O521" s="1">
        <f t="shared" si="66"/>
        <v>1.2</v>
      </c>
      <c r="P521" s="1">
        <v>6.7</v>
      </c>
      <c r="Q521" s="1">
        <f t="shared" si="63"/>
        <v>6.7</v>
      </c>
      <c r="R521" s="1" t="s">
        <v>570</v>
      </c>
      <c r="S521" s="1" t="str">
        <f>PROPER(Table3[[#This Row],[Cancer_Type]])</f>
        <v>Skin</v>
      </c>
      <c r="T521" s="1" t="s">
        <v>592</v>
      </c>
      <c r="U521" s="4">
        <v>48537.42</v>
      </c>
      <c r="V521" s="1">
        <v>2.2999999999999998</v>
      </c>
      <c r="W521" s="1">
        <f t="shared" ca="1" si="67"/>
        <v>5</v>
      </c>
      <c r="X521" s="1">
        <v>4.3099999999999996</v>
      </c>
      <c r="Y521" s="1" t="str">
        <f t="shared" si="68"/>
        <v>Stage II</v>
      </c>
      <c r="Z521" s="10">
        <f t="shared" ref="Z521:Z532" si="69">IF(U521&lt;&gt;"",U521,ROUND(AVERAGEIF(S521:S1051,S521,U521:U1051),2))</f>
        <v>48537.42</v>
      </c>
    </row>
    <row r="522" spans="1:28">
      <c r="A522" s="1" t="s">
        <v>226</v>
      </c>
      <c r="B522" s="1">
        <v>68</v>
      </c>
      <c r="C522" s="1" t="s">
        <v>542</v>
      </c>
      <c r="D522" s="1" t="str">
        <f>PROPER(Table3[[#This Row],[Gender]])</f>
        <v>Male</v>
      </c>
      <c r="E522" s="1" t="s">
        <v>550</v>
      </c>
      <c r="F522" s="1" t="str">
        <f>PROPER(Table3[[#This Row],[Country_Region]])</f>
        <v>Pakistan</v>
      </c>
      <c r="G522" s="1">
        <v>2024</v>
      </c>
      <c r="H522" s="1">
        <v>6.1</v>
      </c>
      <c r="I522" s="1">
        <f>IF(H522="", AVERAGEIF('CLEANED DATASET'!$G$2:$G$532,G522,'CLEANED DATASET'!$H218),H522)</f>
        <v>6.1</v>
      </c>
      <c r="J522" s="1">
        <v>5.0999999999999996</v>
      </c>
      <c r="K522" s="1">
        <f t="shared" si="64"/>
        <v>5.0999999999999996</v>
      </c>
      <c r="L522" s="1">
        <v>0.5</v>
      </c>
      <c r="M522" s="1">
        <f t="shared" si="65"/>
        <v>0.5</v>
      </c>
      <c r="N522" s="1">
        <v>1.9</v>
      </c>
      <c r="O522" s="1">
        <f t="shared" si="66"/>
        <v>1.9</v>
      </c>
      <c r="P522" s="1">
        <v>1.6</v>
      </c>
      <c r="Q522" s="1">
        <f t="shared" si="63"/>
        <v>1.6</v>
      </c>
      <c r="R522" s="1" t="s">
        <v>574</v>
      </c>
      <c r="S522" s="1" t="str">
        <f>PROPER(Table3[[#This Row],[Cancer_Type]])</f>
        <v>Colon</v>
      </c>
      <c r="T522" s="1" t="s">
        <v>591</v>
      </c>
      <c r="U522" s="4">
        <v>93441.9</v>
      </c>
      <c r="V522" s="1">
        <v>7.4</v>
      </c>
      <c r="W522" s="1">
        <f t="shared" ca="1" si="67"/>
        <v>8</v>
      </c>
      <c r="X522" s="1">
        <v>2.73</v>
      </c>
      <c r="Y522" s="1" t="str">
        <f t="shared" si="68"/>
        <v>Stage I</v>
      </c>
      <c r="Z522">
        <f t="shared" si="69"/>
        <v>93441.9</v>
      </c>
      <c r="AB522" s="2"/>
    </row>
    <row r="523" spans="1:28">
      <c r="A523" s="1" t="s">
        <v>92</v>
      </c>
      <c r="B523" s="1">
        <v>48</v>
      </c>
      <c r="C523" s="1" t="s">
        <v>543</v>
      </c>
      <c r="D523" s="1" t="str">
        <f>PROPER(Table3[[#This Row],[Gender]])</f>
        <v>Female</v>
      </c>
      <c r="E523" s="1" t="s">
        <v>548</v>
      </c>
      <c r="F523" s="1" t="str">
        <f>PROPER(Table3[[#This Row],[Country_Region]])</f>
        <v>Uk</v>
      </c>
      <c r="G523" s="1">
        <v>2022</v>
      </c>
      <c r="H523" s="1">
        <v>1.3</v>
      </c>
      <c r="I523" s="1">
        <f>IF(H523="", AVERAGEIF('CLEANED DATASET'!$G$2:$G$532,G523,'CLEANED DATASET'!$H84),H523)</f>
        <v>1.3</v>
      </c>
      <c r="J523" s="1">
        <v>0.7</v>
      </c>
      <c r="K523" s="1">
        <f t="shared" si="64"/>
        <v>0.7</v>
      </c>
      <c r="L523" s="1">
        <v>9.3000000000000007</v>
      </c>
      <c r="M523" s="1">
        <f t="shared" si="65"/>
        <v>9.3000000000000007</v>
      </c>
      <c r="N523" s="1">
        <v>9.5</v>
      </c>
      <c r="O523" s="1">
        <f t="shared" si="66"/>
        <v>9.5</v>
      </c>
      <c r="P523" s="1">
        <v>5</v>
      </c>
      <c r="Q523" s="1">
        <f t="shared" ref="Q523:Q532" si="70">IF(P523="",AVERAGEIF(G523:G1053,G523,P523:P1053),P523)</f>
        <v>5</v>
      </c>
      <c r="R523" s="1" t="s">
        <v>570</v>
      </c>
      <c r="S523" s="1" t="str">
        <f>PROPER(Table3[[#This Row],[Cancer_Type]])</f>
        <v>Skin</v>
      </c>
      <c r="T523" s="1" t="s">
        <v>590</v>
      </c>
      <c r="U523" s="4">
        <v>15466.94</v>
      </c>
      <c r="V523" s="1">
        <v>1.3</v>
      </c>
      <c r="W523" s="1">
        <f t="shared" ca="1" si="67"/>
        <v>5</v>
      </c>
      <c r="X523" s="1">
        <v>5.85</v>
      </c>
      <c r="Y523" s="1" t="str">
        <f t="shared" si="68"/>
        <v>Stage II</v>
      </c>
      <c r="Z523" s="10">
        <f t="shared" si="69"/>
        <v>15466.94</v>
      </c>
      <c r="AB523" s="2"/>
    </row>
    <row r="524" spans="1:28">
      <c r="A524" s="1" t="s">
        <v>36</v>
      </c>
      <c r="B524" s="1">
        <v>20</v>
      </c>
      <c r="C524" s="1" t="s">
        <v>542</v>
      </c>
      <c r="D524" s="1" t="str">
        <f>PROPER(Table3[[#This Row],[Gender]])</f>
        <v>Male</v>
      </c>
      <c r="E524" s="1" t="s">
        <v>632</v>
      </c>
      <c r="F524" s="1" t="str">
        <f>PROPER(Table3[[#This Row],[Country_Region]])</f>
        <v>Germany</v>
      </c>
      <c r="G524" s="1">
        <v>2023</v>
      </c>
      <c r="H524" s="1">
        <v>4.8</v>
      </c>
      <c r="I524" s="1">
        <f>IF(H524="", AVERAGEIF('CLEANED DATASET'!$G$2:$G$532,G524,'CLEANED DATASET'!$H28),H524)</f>
        <v>4.8</v>
      </c>
      <c r="J524" s="1">
        <v>9.4</v>
      </c>
      <c r="K524" s="1">
        <f t="shared" si="64"/>
        <v>9.4</v>
      </c>
      <c r="L524" s="1">
        <v>0.9</v>
      </c>
      <c r="M524" s="1">
        <f t="shared" si="65"/>
        <v>0.9</v>
      </c>
      <c r="N524" s="1">
        <v>0.9</v>
      </c>
      <c r="O524" s="1">
        <f t="shared" si="66"/>
        <v>0.9</v>
      </c>
      <c r="P524" s="1">
        <v>2</v>
      </c>
      <c r="Q524" s="1">
        <f t="shared" si="70"/>
        <v>2</v>
      </c>
      <c r="R524" s="1" t="s">
        <v>572</v>
      </c>
      <c r="S524" s="1" t="str">
        <f>PROPER(Table3[[#This Row],[Cancer_Type]])</f>
        <v>Leukemia</v>
      </c>
      <c r="T524" s="1" t="s">
        <v>593</v>
      </c>
      <c r="U524" s="4">
        <v>60587.18</v>
      </c>
      <c r="V524" s="1">
        <f>ROUND(10-((I524+K524+M524+O524+Q524)/5),1)</f>
        <v>6.4</v>
      </c>
      <c r="W524" s="1">
        <f t="shared" ca="1" si="67"/>
        <v>7</v>
      </c>
      <c r="X524" s="1">
        <v>3.67</v>
      </c>
      <c r="Y524" s="1" t="str">
        <f t="shared" si="68"/>
        <v>Stage I</v>
      </c>
      <c r="Z524" s="10">
        <f t="shared" si="69"/>
        <v>60587.18</v>
      </c>
    </row>
    <row r="525" spans="1:28">
      <c r="A525" s="1" t="s">
        <v>507</v>
      </c>
      <c r="B525" s="1">
        <v>63</v>
      </c>
      <c r="C525" s="1" t="s">
        <v>542</v>
      </c>
      <c r="D525" s="1" t="str">
        <f>PROPER(Table3[[#This Row],[Gender]])</f>
        <v>Male</v>
      </c>
      <c r="E525" s="1" t="s">
        <v>560</v>
      </c>
      <c r="F525" s="1" t="str">
        <f>PROPER(Table3[[#This Row],[Country_Region]])</f>
        <v>Usa</v>
      </c>
      <c r="G525" s="1">
        <v>2024</v>
      </c>
      <c r="H525" s="1"/>
      <c r="I525" s="3">
        <f ca="1">IF(H525="", AVERAGEIF('CLEANED DATASET'!$G$2:$G$532,G525,'CLEANED DATASET'!$H499),H525)</f>
        <v>3.9666666666666668</v>
      </c>
      <c r="J525" s="1">
        <v>6.5</v>
      </c>
      <c r="K525" s="1">
        <f t="shared" si="64"/>
        <v>6.5</v>
      </c>
      <c r="L525" s="1">
        <v>6.7</v>
      </c>
      <c r="M525" s="1">
        <f t="shared" si="65"/>
        <v>6.7</v>
      </c>
      <c r="N525" s="1">
        <v>0.8</v>
      </c>
      <c r="O525" s="1">
        <f t="shared" si="66"/>
        <v>0.8</v>
      </c>
      <c r="P525" s="1">
        <v>5.7</v>
      </c>
      <c r="Q525" s="1">
        <f t="shared" si="70"/>
        <v>5.7</v>
      </c>
      <c r="R525" s="1" t="s">
        <v>573</v>
      </c>
      <c r="S525" s="1" t="str">
        <f>PROPER(Table3[[#This Row],[Cancer_Type]])</f>
        <v>Breast</v>
      </c>
      <c r="T525" s="1" t="s">
        <v>594</v>
      </c>
      <c r="U525" s="4">
        <v>75411.67</v>
      </c>
      <c r="V525" s="1">
        <v>5.4</v>
      </c>
      <c r="W525" s="1">
        <f t="shared" ca="1" si="67"/>
        <v>8</v>
      </c>
      <c r="X525" s="1">
        <v>3.4</v>
      </c>
      <c r="Y525" s="1" t="str">
        <f t="shared" si="68"/>
        <v>Stage I</v>
      </c>
      <c r="Z525" s="10">
        <f t="shared" si="69"/>
        <v>75411.67</v>
      </c>
    </row>
    <row r="526" spans="1:28">
      <c r="A526" s="1" t="s">
        <v>81</v>
      </c>
      <c r="B526" s="1">
        <v>85</v>
      </c>
      <c r="C526" s="1" t="s">
        <v>541</v>
      </c>
      <c r="D526" s="1" t="str">
        <f>PROPER(Table3[[#This Row],[Gender]])</f>
        <v>Other</v>
      </c>
      <c r="E526" s="1" t="s">
        <v>552</v>
      </c>
      <c r="F526" s="1" t="str">
        <f>PROPER(Table3[[#This Row],[Country_Region]])</f>
        <v>China</v>
      </c>
      <c r="G526" s="1">
        <v>2023</v>
      </c>
      <c r="H526" s="1">
        <v>9.9</v>
      </c>
      <c r="I526" s="1">
        <f>IF(H526="", AVERAGEIF('CLEANED DATASET'!$G$2:$G$532,G526,'CLEANED DATASET'!$H73),H526)</f>
        <v>9.9</v>
      </c>
      <c r="J526" s="1">
        <v>9.1</v>
      </c>
      <c r="K526" s="1">
        <f t="shared" si="64"/>
        <v>9.1</v>
      </c>
      <c r="L526" s="1">
        <v>4.9000000000000004</v>
      </c>
      <c r="M526" s="1">
        <f t="shared" si="65"/>
        <v>4.9000000000000004</v>
      </c>
      <c r="N526" s="1">
        <v>5.3</v>
      </c>
      <c r="O526" s="1">
        <f t="shared" si="66"/>
        <v>5.3</v>
      </c>
      <c r="P526" s="1">
        <v>9.3000000000000007</v>
      </c>
      <c r="Q526" s="1">
        <f t="shared" si="70"/>
        <v>9.3000000000000007</v>
      </c>
      <c r="R526" s="1" t="s">
        <v>576</v>
      </c>
      <c r="S526" s="1" t="str">
        <f>PROPER(Table3[[#This Row],[Cancer_Type]])</f>
        <v>Cervical</v>
      </c>
      <c r="T526" s="1" t="s">
        <v>592</v>
      </c>
      <c r="U526" s="4">
        <v>79569.61</v>
      </c>
      <c r="V526" s="1">
        <v>1.6</v>
      </c>
      <c r="W526" s="1">
        <f t="shared" ca="1" si="67"/>
        <v>3</v>
      </c>
      <c r="X526" s="1">
        <v>6.48</v>
      </c>
      <c r="Y526" s="1" t="str">
        <f t="shared" si="68"/>
        <v>Stage III</v>
      </c>
      <c r="Z526" s="10">
        <f t="shared" si="69"/>
        <v>79569.61</v>
      </c>
    </row>
    <row r="527" spans="1:28">
      <c r="A527" s="1" t="s">
        <v>32</v>
      </c>
      <c r="B527" s="1">
        <v>77</v>
      </c>
      <c r="C527" s="1" t="s">
        <v>546</v>
      </c>
      <c r="D527" s="1" t="str">
        <f>PROPER(Table3[[#This Row],[Gender]])</f>
        <v>Unknown</v>
      </c>
      <c r="E527" s="1" t="s">
        <v>549</v>
      </c>
      <c r="F527" s="1" t="str">
        <f>PROPER(Table3[[#This Row],[Country_Region]])</f>
        <v>Australia</v>
      </c>
      <c r="G527" s="1">
        <v>2023</v>
      </c>
      <c r="H527" s="1">
        <v>4.5999999999999996</v>
      </c>
      <c r="I527" s="1">
        <f>IF(H527="", AVERAGEIF('CLEANED DATASET'!$G$2:$G$532,G527,'CLEANED DATASET'!$H24),H527)</f>
        <v>4.5999999999999996</v>
      </c>
      <c r="J527" s="1">
        <v>5.5</v>
      </c>
      <c r="K527" s="1">
        <f t="shared" si="64"/>
        <v>5.5</v>
      </c>
      <c r="L527" s="1">
        <v>4.3</v>
      </c>
      <c r="M527" s="1">
        <f t="shared" si="65"/>
        <v>4.3</v>
      </c>
      <c r="N527" s="1">
        <v>3.2</v>
      </c>
      <c r="O527" s="1">
        <f t="shared" si="66"/>
        <v>3.2</v>
      </c>
      <c r="P527" s="1">
        <v>1.3</v>
      </c>
      <c r="Q527" s="1">
        <f t="shared" si="70"/>
        <v>1.3</v>
      </c>
      <c r="R527" s="1" t="s">
        <v>576</v>
      </c>
      <c r="S527" s="1" t="str">
        <f>PROPER(Table3[[#This Row],[Cancer_Type]])</f>
        <v>Cervical</v>
      </c>
      <c r="T527" s="1" t="s">
        <v>592</v>
      </c>
      <c r="U527" s="4">
        <v>19140.37</v>
      </c>
      <c r="V527" s="1">
        <v>4.8</v>
      </c>
      <c r="W527" s="1">
        <f t="shared" ca="1" si="67"/>
        <v>5</v>
      </c>
      <c r="X527" s="1">
        <v>4.78</v>
      </c>
      <c r="Y527" s="1" t="str">
        <f t="shared" si="68"/>
        <v>Stage II</v>
      </c>
      <c r="Z527" s="10">
        <f t="shared" si="69"/>
        <v>19140.37</v>
      </c>
    </row>
    <row r="528" spans="1:28">
      <c r="A528" s="1" t="s">
        <v>129</v>
      </c>
      <c r="B528" s="1">
        <v>39</v>
      </c>
      <c r="C528" s="1" t="s">
        <v>542</v>
      </c>
      <c r="D528" s="1" t="str">
        <f>PROPER(Table3[[#This Row],[Gender]])</f>
        <v>Male</v>
      </c>
      <c r="E528" s="1" t="s">
        <v>549</v>
      </c>
      <c r="F528" s="1" t="str">
        <f>PROPER(Table3[[#This Row],[Country_Region]])</f>
        <v>Australia</v>
      </c>
      <c r="G528" s="1">
        <v>2023</v>
      </c>
      <c r="H528" s="1">
        <v>3.4</v>
      </c>
      <c r="I528" s="1">
        <f>IF(H528="", AVERAGEIF('CLEANED DATASET'!$G$2:$G$532,G528,'CLEANED DATASET'!$H121),H528)</f>
        <v>3.4</v>
      </c>
      <c r="J528" s="1">
        <v>6.7</v>
      </c>
      <c r="K528" s="1">
        <f t="shared" si="64"/>
        <v>6.7</v>
      </c>
      <c r="L528" s="1">
        <v>0.7</v>
      </c>
      <c r="M528" s="1">
        <f t="shared" si="65"/>
        <v>0.7</v>
      </c>
      <c r="N528" s="1">
        <v>9.1</v>
      </c>
      <c r="O528" s="1">
        <f t="shared" si="66"/>
        <v>9.1</v>
      </c>
      <c r="P528" s="1">
        <v>3.7</v>
      </c>
      <c r="Q528" s="1">
        <f t="shared" si="70"/>
        <v>3.7</v>
      </c>
      <c r="R528" s="1" t="s">
        <v>570</v>
      </c>
      <c r="S528" s="1" t="str">
        <f>PROPER(Table3[[#This Row],[Cancer_Type]])</f>
        <v>Skin</v>
      </c>
      <c r="T528" s="1" t="s">
        <v>594</v>
      </c>
      <c r="U528" s="4">
        <v>79379.509999999995</v>
      </c>
      <c r="V528" s="1">
        <v>7</v>
      </c>
      <c r="W528" s="1">
        <f t="shared" ca="1" si="67"/>
        <v>6</v>
      </c>
      <c r="X528" s="1">
        <v>4.3899999999999997</v>
      </c>
      <c r="Y528" s="1" t="str">
        <f t="shared" si="68"/>
        <v>Stage II</v>
      </c>
      <c r="Z528" s="10">
        <f t="shared" si="69"/>
        <v>79379.509999999995</v>
      </c>
    </row>
    <row r="529" spans="1:26">
      <c r="A529" s="1" t="s">
        <v>255</v>
      </c>
      <c r="B529" s="1">
        <v>41</v>
      </c>
      <c r="C529" s="1" t="s">
        <v>541</v>
      </c>
      <c r="D529" s="1" t="str">
        <f>PROPER(Table3[[#This Row],[Gender]])</f>
        <v>Other</v>
      </c>
      <c r="E529" s="1" t="s">
        <v>555</v>
      </c>
      <c r="F529" s="1" t="str">
        <f>PROPER(Table3[[#This Row],[Country_Region]])</f>
        <v>Russia</v>
      </c>
      <c r="G529" s="1">
        <v>2022</v>
      </c>
      <c r="H529" s="1">
        <v>2.9</v>
      </c>
      <c r="I529" s="1">
        <f>IF(H529="", AVERAGEIF('CLEANED DATASET'!$G$2:$G$532,G529,'CLEANED DATASET'!$H247),H529)</f>
        <v>2.9</v>
      </c>
      <c r="J529" s="1">
        <v>0</v>
      </c>
      <c r="K529" s="1">
        <f t="shared" si="64"/>
        <v>0</v>
      </c>
      <c r="L529" s="1">
        <v>2.2999999999999998</v>
      </c>
      <c r="M529" s="1">
        <f t="shared" si="65"/>
        <v>2.2999999999999998</v>
      </c>
      <c r="N529" s="1">
        <v>3.9</v>
      </c>
      <c r="O529" s="1">
        <f t="shared" si="66"/>
        <v>3.9</v>
      </c>
      <c r="P529" s="1">
        <v>10</v>
      </c>
      <c r="Q529" s="1">
        <f t="shared" si="70"/>
        <v>10</v>
      </c>
      <c r="R529" s="1" t="s">
        <v>578</v>
      </c>
      <c r="S529" s="1" t="str">
        <f>PROPER(Table3[[#This Row],[Cancer_Type]])</f>
        <v>Liver</v>
      </c>
      <c r="T529" s="1" t="s">
        <v>594</v>
      </c>
      <c r="U529" s="4">
        <v>54800.22</v>
      </c>
      <c r="V529" s="1">
        <v>5.5</v>
      </c>
      <c r="W529" s="1">
        <f t="shared" ca="1" si="67"/>
        <v>8</v>
      </c>
      <c r="X529" s="1">
        <v>3.61</v>
      </c>
      <c r="Y529" s="1" t="str">
        <f t="shared" si="68"/>
        <v>Stage I</v>
      </c>
      <c r="Z529" s="10">
        <f t="shared" si="69"/>
        <v>54800.22</v>
      </c>
    </row>
    <row r="530" spans="1:26">
      <c r="A530" s="1" t="s">
        <v>297</v>
      </c>
      <c r="B530" s="1">
        <v>89</v>
      </c>
      <c r="C530" s="1" t="s">
        <v>546</v>
      </c>
      <c r="D530" s="1" t="str">
        <f>PROPER(Table3[[#This Row],[Gender]])</f>
        <v>Unknown</v>
      </c>
      <c r="E530" s="1" t="s">
        <v>556</v>
      </c>
      <c r="F530" s="1" t="str">
        <f>PROPER(Table3[[#This Row],[Country_Region]])</f>
        <v>India</v>
      </c>
      <c r="G530" s="1">
        <v>2022</v>
      </c>
      <c r="H530" s="1">
        <v>3.2</v>
      </c>
      <c r="I530" s="1">
        <f>IF(H530="", AVERAGEIF('CLEANED DATASET'!$G$2:$G$532,G530,'CLEANED DATASET'!$H289),H530)</f>
        <v>3.2</v>
      </c>
      <c r="J530" s="1">
        <v>6.3</v>
      </c>
      <c r="K530" s="1">
        <f t="shared" si="64"/>
        <v>6.3</v>
      </c>
      <c r="L530" s="1">
        <v>4.7</v>
      </c>
      <c r="M530" s="1">
        <f t="shared" si="65"/>
        <v>4.7</v>
      </c>
      <c r="N530" s="1">
        <v>5.0999999999999996</v>
      </c>
      <c r="O530" s="1">
        <f t="shared" si="66"/>
        <v>5.0999999999999996</v>
      </c>
      <c r="P530" s="1">
        <v>8.1999999999999993</v>
      </c>
      <c r="Q530" s="1">
        <f t="shared" si="70"/>
        <v>8.1999999999999993</v>
      </c>
      <c r="R530" s="1" t="s">
        <v>579</v>
      </c>
      <c r="S530" s="1" t="str">
        <f>PROPER(Table3[[#This Row],[Cancer_Type]])</f>
        <v>Prostate</v>
      </c>
      <c r="T530" s="1" t="s">
        <v>591</v>
      </c>
      <c r="U530" s="4">
        <v>94633.12</v>
      </c>
      <c r="V530" s="1">
        <v>5.2</v>
      </c>
      <c r="W530" s="1">
        <f t="shared" ca="1" si="67"/>
        <v>5</v>
      </c>
      <c r="X530" s="1">
        <v>4.24</v>
      </c>
      <c r="Y530" s="1" t="str">
        <f t="shared" si="68"/>
        <v>Stage II</v>
      </c>
      <c r="Z530" s="10">
        <f t="shared" si="69"/>
        <v>94633.12</v>
      </c>
    </row>
    <row r="531" spans="1:26">
      <c r="A531" s="1" t="s">
        <v>195</v>
      </c>
      <c r="B531" s="1">
        <v>24</v>
      </c>
      <c r="C531" s="1" t="s">
        <v>541</v>
      </c>
      <c r="D531" s="1" t="str">
        <f>PROPER(Table3[[#This Row],[Gender]])</f>
        <v>Other</v>
      </c>
      <c r="E531" s="1" t="s">
        <v>620</v>
      </c>
      <c r="F531" s="1" t="str">
        <f>PROPER(Table3[[#This Row],[Country_Region]])</f>
        <v>Brazil</v>
      </c>
      <c r="G531" s="1">
        <v>2024</v>
      </c>
      <c r="H531" s="1">
        <v>0.8</v>
      </c>
      <c r="I531" s="1">
        <f>IF(H531="", AVERAGEIF('CLEANED DATASET'!$G$2:$G$532,G531,'CLEANED DATASET'!$H187),H531)</f>
        <v>0.8</v>
      </c>
      <c r="J531" s="1">
        <v>8.4</v>
      </c>
      <c r="K531" s="1">
        <f t="shared" si="64"/>
        <v>8.4</v>
      </c>
      <c r="L531" s="1">
        <v>5.3</v>
      </c>
      <c r="M531" s="1">
        <f t="shared" si="65"/>
        <v>5.3</v>
      </c>
      <c r="N531" s="1">
        <v>6.2</v>
      </c>
      <c r="O531" s="1">
        <f t="shared" si="66"/>
        <v>6.2</v>
      </c>
      <c r="P531" s="1">
        <v>4.2</v>
      </c>
      <c r="Q531" s="1">
        <f t="shared" si="70"/>
        <v>4.2</v>
      </c>
      <c r="R531" s="1" t="s">
        <v>579</v>
      </c>
      <c r="S531" s="1" t="str">
        <f>PROPER(Table3[[#This Row],[Cancer_Type]])</f>
        <v>Prostate</v>
      </c>
      <c r="T531" s="1" t="s">
        <v>594</v>
      </c>
      <c r="U531" s="4">
        <v>13929.79</v>
      </c>
      <c r="V531" s="1">
        <v>8</v>
      </c>
      <c r="W531" s="1">
        <f t="shared" ca="1" si="67"/>
        <v>6</v>
      </c>
      <c r="X531" s="1">
        <v>5.6</v>
      </c>
      <c r="Y531" s="1" t="str">
        <f t="shared" si="68"/>
        <v>Stage II</v>
      </c>
      <c r="Z531" s="10">
        <f t="shared" si="69"/>
        <v>13929.79</v>
      </c>
    </row>
    <row r="532" spans="1:26">
      <c r="A532" s="1" t="s">
        <v>131</v>
      </c>
      <c r="B532" s="1">
        <v>67</v>
      </c>
      <c r="C532" s="1" t="s">
        <v>543</v>
      </c>
      <c r="D532" s="1" t="str">
        <f>PROPER(Table3[[#This Row],[Gender]])</f>
        <v>Female</v>
      </c>
      <c r="E532" s="5" t="s">
        <v>638</v>
      </c>
      <c r="F532" s="1" t="str">
        <f>PROPER(Table3[[#This Row],[Country_Region]])</f>
        <v>Australia</v>
      </c>
      <c r="G532" s="1">
        <v>2022</v>
      </c>
      <c r="H532" s="1">
        <v>1.6</v>
      </c>
      <c r="I532" s="1">
        <f>IF(H532="", AVERAGEIF('CLEANED DATASET'!$G$2:$G$532,G532,'CLEANED DATASET'!$H123),H532)</f>
        <v>1.6</v>
      </c>
      <c r="J532" s="1">
        <v>5.6</v>
      </c>
      <c r="K532" s="1">
        <f t="shared" si="64"/>
        <v>5.6</v>
      </c>
      <c r="L532" s="1">
        <v>4.7</v>
      </c>
      <c r="M532" s="1">
        <f t="shared" si="65"/>
        <v>4.7</v>
      </c>
      <c r="N532" s="1">
        <v>3.3</v>
      </c>
      <c r="O532" s="1">
        <f t="shared" si="66"/>
        <v>3.3</v>
      </c>
      <c r="P532" s="1">
        <v>4.9000000000000004</v>
      </c>
      <c r="Q532" s="1">
        <f t="shared" si="70"/>
        <v>4.9000000000000004</v>
      </c>
      <c r="R532" s="1" t="s">
        <v>570</v>
      </c>
      <c r="S532" s="1" t="str">
        <f>PROPER(Table3[[#This Row],[Cancer_Type]])</f>
        <v>Skin</v>
      </c>
      <c r="T532" s="1" t="s">
        <v>594</v>
      </c>
      <c r="U532" s="4">
        <v>93848.98</v>
      </c>
      <c r="V532" s="1">
        <v>7.2</v>
      </c>
      <c r="W532" s="1">
        <f t="shared" ca="1" si="67"/>
        <v>7</v>
      </c>
      <c r="X532" s="1">
        <v>3.14</v>
      </c>
      <c r="Y532" s="1" t="str">
        <f t="shared" si="68"/>
        <v>Stage I</v>
      </c>
      <c r="Z532" s="10">
        <f t="shared" si="69"/>
        <v>93848.98</v>
      </c>
    </row>
  </sheetData>
  <pageMargins left="0.7" right="0.7" top="0.75" bottom="0.75" header="0.3" footer="0.3"/>
  <ignoredErrors>
    <ignoredError sqref="Z3:Z7 Q1:Q532 Z9:Z532 M3:M532 O1:O532" formulaRange="1"/>
    <ignoredError sqref="I1:I532" calculatedColumn="1"/>
    <ignoredError sqref="Z8" formulaRange="1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FE81-0910-44B7-A602-1E3551ECFFAE}">
  <dimension ref="A1:L25"/>
  <sheetViews>
    <sheetView workbookViewId="0">
      <selection activeCell="G2" sqref="G2"/>
    </sheetView>
  </sheetViews>
  <sheetFormatPr defaultRowHeight="14.4"/>
  <cols>
    <col min="1" max="1" width="12.5546875" bestFit="1" customWidth="1"/>
    <col min="2" max="2" width="33.109375" customWidth="1"/>
    <col min="3" max="3" width="10.77734375" customWidth="1"/>
    <col min="4" max="4" width="12.5546875" bestFit="1" customWidth="1"/>
    <col min="5" max="5" width="32" customWidth="1"/>
    <col min="6" max="6" width="11.5546875" customWidth="1"/>
    <col min="7" max="7" width="12.5546875" bestFit="1" customWidth="1"/>
    <col min="8" max="8" width="22.21875" bestFit="1" customWidth="1"/>
    <col min="9" max="9" width="5.21875" bestFit="1" customWidth="1"/>
    <col min="10" max="10" width="5.77734375" bestFit="1" customWidth="1"/>
    <col min="11" max="11" width="9.21875" bestFit="1" customWidth="1"/>
    <col min="12" max="12" width="10.77734375" bestFit="1" customWidth="1"/>
  </cols>
  <sheetData>
    <row r="1" spans="1:12">
      <c r="A1" s="31" t="s">
        <v>657</v>
      </c>
      <c r="B1" s="31"/>
      <c r="C1" s="23"/>
      <c r="D1" s="31" t="s">
        <v>659</v>
      </c>
      <c r="E1" s="31"/>
      <c r="F1" s="23"/>
      <c r="G1" s="30" t="s">
        <v>661</v>
      </c>
      <c r="H1" s="30"/>
    </row>
    <row r="2" spans="1:12">
      <c r="A2" s="18" t="s">
        <v>653</v>
      </c>
      <c r="B2" s="19" t="s">
        <v>656</v>
      </c>
      <c r="C2" s="19"/>
      <c r="D2" s="18" t="s">
        <v>653</v>
      </c>
      <c r="E2" s="19" t="s">
        <v>658</v>
      </c>
      <c r="F2" s="19"/>
      <c r="G2" s="18" t="s">
        <v>653</v>
      </c>
      <c r="H2" s="19" t="s">
        <v>660</v>
      </c>
    </row>
    <row r="3" spans="1:12">
      <c r="A3" s="20" t="s">
        <v>573</v>
      </c>
      <c r="B3" s="19">
        <v>65</v>
      </c>
      <c r="C3" s="19"/>
      <c r="D3" s="20">
        <v>2022</v>
      </c>
      <c r="E3" s="22">
        <v>52797.11794444445</v>
      </c>
      <c r="F3" s="22"/>
      <c r="G3" s="20" t="s">
        <v>593</v>
      </c>
      <c r="H3" s="21">
        <v>2.2000000000000002</v>
      </c>
    </row>
    <row r="4" spans="1:12">
      <c r="A4" s="20" t="s">
        <v>576</v>
      </c>
      <c r="B4" s="19">
        <v>68</v>
      </c>
      <c r="C4" s="19"/>
      <c r="D4" s="20">
        <v>2023</v>
      </c>
      <c r="E4" s="22">
        <v>50580.430167597755</v>
      </c>
      <c r="F4" s="22"/>
      <c r="G4" s="20" t="s">
        <v>594</v>
      </c>
      <c r="H4" s="21">
        <v>5.1635593220339011</v>
      </c>
    </row>
    <row r="5" spans="1:12">
      <c r="A5" s="20" t="s">
        <v>574</v>
      </c>
      <c r="B5" s="19">
        <v>64</v>
      </c>
      <c r="C5" s="19"/>
      <c r="D5" s="20">
        <v>2024</v>
      </c>
      <c r="E5" s="22">
        <v>51751.069360465081</v>
      </c>
      <c r="F5" s="22"/>
      <c r="G5" s="20" t="s">
        <v>592</v>
      </c>
      <c r="H5" s="21">
        <v>5.2364820846905538</v>
      </c>
    </row>
    <row r="6" spans="1:12">
      <c r="A6" s="20" t="s">
        <v>572</v>
      </c>
      <c r="B6" s="19">
        <v>60</v>
      </c>
      <c r="C6" s="19"/>
      <c r="D6" s="20" t="s">
        <v>654</v>
      </c>
      <c r="E6" s="22">
        <v>51711.039849340821</v>
      </c>
      <c r="F6" s="22"/>
      <c r="G6" s="20" t="s">
        <v>590</v>
      </c>
      <c r="H6" s="21">
        <v>5.4123456790123479</v>
      </c>
    </row>
    <row r="7" spans="1:12">
      <c r="A7" s="20" t="s">
        <v>578</v>
      </c>
      <c r="B7" s="19">
        <v>62</v>
      </c>
      <c r="G7" s="20" t="s">
        <v>591</v>
      </c>
      <c r="H7" s="21">
        <v>4.9750000000000005</v>
      </c>
    </row>
    <row r="8" spans="1:12">
      <c r="A8" s="20" t="s">
        <v>571</v>
      </c>
      <c r="B8" s="19">
        <v>58</v>
      </c>
      <c r="G8" s="20" t="s">
        <v>654</v>
      </c>
      <c r="H8" s="21">
        <v>5.2295668549905807</v>
      </c>
    </row>
    <row r="9" spans="1:12">
      <c r="A9" s="20" t="s">
        <v>579</v>
      </c>
      <c r="B9" s="19">
        <v>60</v>
      </c>
      <c r="C9" s="24"/>
      <c r="D9" s="30" t="s">
        <v>662</v>
      </c>
      <c r="E9" s="30"/>
      <c r="F9" s="23"/>
    </row>
    <row r="10" spans="1:12">
      <c r="A10" s="20" t="s">
        <v>570</v>
      </c>
      <c r="B10" s="19">
        <v>64</v>
      </c>
      <c r="C10" s="19"/>
      <c r="D10" s="18" t="s">
        <v>653</v>
      </c>
      <c r="E10" s="19" t="s">
        <v>656</v>
      </c>
      <c r="F10" s="24"/>
      <c r="G10" s="30" t="s">
        <v>663</v>
      </c>
      <c r="H10" s="30"/>
      <c r="I10" s="30"/>
      <c r="J10" s="30"/>
      <c r="K10" s="30"/>
      <c r="L10" s="30"/>
    </row>
    <row r="11" spans="1:12">
      <c r="A11" s="20" t="s">
        <v>546</v>
      </c>
      <c r="B11" s="19">
        <v>30</v>
      </c>
      <c r="C11" s="19"/>
      <c r="D11" s="20" t="s">
        <v>549</v>
      </c>
      <c r="E11" s="22">
        <v>61</v>
      </c>
      <c r="F11" s="22"/>
      <c r="G11" s="18" t="s">
        <v>656</v>
      </c>
      <c r="H11" s="18" t="s">
        <v>655</v>
      </c>
      <c r="I11" s="19"/>
      <c r="J11" s="19"/>
      <c r="K11" s="19"/>
      <c r="L11" s="19"/>
    </row>
    <row r="12" spans="1:12">
      <c r="A12" s="20" t="s">
        <v>654</v>
      </c>
      <c r="B12" s="19">
        <v>531</v>
      </c>
      <c r="C12" s="19"/>
      <c r="D12" s="20" t="s">
        <v>554</v>
      </c>
      <c r="E12" s="22">
        <v>54</v>
      </c>
      <c r="F12" s="22"/>
      <c r="G12" s="18" t="s">
        <v>653</v>
      </c>
      <c r="H12" s="19" t="s">
        <v>543</v>
      </c>
      <c r="I12" s="19" t="s">
        <v>542</v>
      </c>
      <c r="J12" s="19" t="s">
        <v>541</v>
      </c>
      <c r="K12" s="19" t="s">
        <v>546</v>
      </c>
      <c r="L12" s="19" t="s">
        <v>654</v>
      </c>
    </row>
    <row r="13" spans="1:12">
      <c r="D13" s="20" t="s">
        <v>553</v>
      </c>
      <c r="E13" s="22">
        <v>50</v>
      </c>
      <c r="F13" s="22"/>
      <c r="G13" s="20" t="s">
        <v>573</v>
      </c>
      <c r="H13" s="22">
        <v>23</v>
      </c>
      <c r="I13" s="22">
        <v>21</v>
      </c>
      <c r="J13" s="22">
        <v>18</v>
      </c>
      <c r="K13" s="22">
        <v>3</v>
      </c>
      <c r="L13" s="22">
        <v>65</v>
      </c>
    </row>
    <row r="14" spans="1:12">
      <c r="A14" s="30" t="s">
        <v>664</v>
      </c>
      <c r="B14" s="30"/>
      <c r="C14" s="25"/>
      <c r="D14" s="20" t="s">
        <v>552</v>
      </c>
      <c r="E14" s="22">
        <v>52</v>
      </c>
      <c r="F14" s="22"/>
      <c r="G14" s="20" t="s">
        <v>576</v>
      </c>
      <c r="H14" s="22">
        <v>19</v>
      </c>
      <c r="I14" s="22">
        <v>24</v>
      </c>
      <c r="J14" s="22">
        <v>21</v>
      </c>
      <c r="K14" s="22">
        <v>4</v>
      </c>
      <c r="L14" s="22">
        <v>68</v>
      </c>
    </row>
    <row r="15" spans="1:12" ht="13.8" customHeight="1">
      <c r="A15" s="18" t="s">
        <v>653</v>
      </c>
      <c r="B15" s="19" t="s">
        <v>658</v>
      </c>
      <c r="C15" s="19"/>
      <c r="D15" s="20" t="s">
        <v>551</v>
      </c>
      <c r="E15" s="22">
        <v>64</v>
      </c>
      <c r="F15" s="22"/>
      <c r="G15" s="20" t="s">
        <v>574</v>
      </c>
      <c r="H15" s="22">
        <v>17</v>
      </c>
      <c r="I15" s="22">
        <v>24</v>
      </c>
      <c r="J15" s="22">
        <v>21</v>
      </c>
      <c r="K15" s="22">
        <v>2</v>
      </c>
      <c r="L15" s="22">
        <v>64</v>
      </c>
    </row>
    <row r="16" spans="1:12">
      <c r="A16" s="20" t="s">
        <v>573</v>
      </c>
      <c r="B16" s="22">
        <v>48055.013384615384</v>
      </c>
      <c r="C16" s="22"/>
      <c r="D16" s="20" t="s">
        <v>556</v>
      </c>
      <c r="E16" s="22">
        <v>52</v>
      </c>
      <c r="F16" s="22"/>
      <c r="G16" s="20" t="s">
        <v>572</v>
      </c>
      <c r="H16" s="22">
        <v>17</v>
      </c>
      <c r="I16" s="22">
        <v>21</v>
      </c>
      <c r="J16" s="22">
        <v>16</v>
      </c>
      <c r="K16" s="22">
        <v>6</v>
      </c>
      <c r="L16" s="22">
        <v>60</v>
      </c>
    </row>
    <row r="17" spans="1:12">
      <c r="A17" s="20" t="s">
        <v>576</v>
      </c>
      <c r="B17" s="22">
        <v>49123.955588235323</v>
      </c>
      <c r="C17" s="22"/>
      <c r="D17" s="20" t="s">
        <v>550</v>
      </c>
      <c r="E17" s="22">
        <v>53</v>
      </c>
      <c r="F17" s="22"/>
      <c r="G17" s="20" t="s">
        <v>578</v>
      </c>
      <c r="H17" s="22">
        <v>19</v>
      </c>
      <c r="I17" s="22">
        <v>22</v>
      </c>
      <c r="J17" s="22">
        <v>18</v>
      </c>
      <c r="K17" s="22">
        <v>3</v>
      </c>
      <c r="L17" s="22">
        <v>62</v>
      </c>
    </row>
    <row r="18" spans="1:12">
      <c r="A18" s="20" t="s">
        <v>574</v>
      </c>
      <c r="B18" s="22">
        <v>57014.704062500001</v>
      </c>
      <c r="C18" s="22"/>
      <c r="D18" s="20" t="s">
        <v>555</v>
      </c>
      <c r="E18" s="22">
        <v>57</v>
      </c>
      <c r="F18" s="22"/>
      <c r="G18" s="20" t="s">
        <v>571</v>
      </c>
      <c r="H18" s="22">
        <v>17</v>
      </c>
      <c r="I18" s="22">
        <v>18</v>
      </c>
      <c r="J18" s="22">
        <v>18</v>
      </c>
      <c r="K18" s="22">
        <v>5</v>
      </c>
      <c r="L18" s="22">
        <v>58</v>
      </c>
    </row>
    <row r="19" spans="1:12">
      <c r="A19" s="20" t="s">
        <v>572</v>
      </c>
      <c r="B19" s="22">
        <v>52577.286333333323</v>
      </c>
      <c r="C19" s="22"/>
      <c r="D19" s="20" t="s">
        <v>548</v>
      </c>
      <c r="E19" s="22">
        <v>56</v>
      </c>
      <c r="F19" s="22"/>
      <c r="G19" s="20" t="s">
        <v>579</v>
      </c>
      <c r="H19" s="22">
        <v>19</v>
      </c>
      <c r="I19" s="22">
        <v>19</v>
      </c>
      <c r="J19" s="22">
        <v>15</v>
      </c>
      <c r="K19" s="22">
        <v>7</v>
      </c>
      <c r="L19" s="22">
        <v>60</v>
      </c>
    </row>
    <row r="20" spans="1:12">
      <c r="A20" s="20" t="s">
        <v>578</v>
      </c>
      <c r="B20" s="22">
        <v>53418.352903225823</v>
      </c>
      <c r="C20" s="22"/>
      <c r="D20" s="20" t="s">
        <v>560</v>
      </c>
      <c r="E20" s="22">
        <v>32</v>
      </c>
      <c r="F20" s="22"/>
      <c r="G20" s="20" t="s">
        <v>570</v>
      </c>
      <c r="H20" s="22">
        <v>21</v>
      </c>
      <c r="I20" s="22">
        <v>21</v>
      </c>
      <c r="J20" s="22">
        <v>19</v>
      </c>
      <c r="K20" s="22">
        <v>3</v>
      </c>
      <c r="L20" s="22">
        <v>64</v>
      </c>
    </row>
    <row r="21" spans="1:12">
      <c r="A21" s="20" t="s">
        <v>571</v>
      </c>
      <c r="B21" s="22">
        <v>50661.774827586232</v>
      </c>
      <c r="C21" s="22"/>
      <c r="D21" s="20" t="s">
        <v>654</v>
      </c>
      <c r="E21" s="22">
        <v>531</v>
      </c>
      <c r="F21" s="22"/>
      <c r="G21" s="20" t="s">
        <v>546</v>
      </c>
      <c r="H21" s="22">
        <v>8</v>
      </c>
      <c r="I21" s="22">
        <v>7</v>
      </c>
      <c r="J21" s="22">
        <v>8</v>
      </c>
      <c r="K21" s="22">
        <v>7</v>
      </c>
      <c r="L21" s="22">
        <v>30</v>
      </c>
    </row>
    <row r="22" spans="1:12">
      <c r="A22" s="20" t="s">
        <v>579</v>
      </c>
      <c r="B22" s="22">
        <v>54133.743499999982</v>
      </c>
      <c r="C22" s="26"/>
      <c r="G22" s="20" t="s">
        <v>654</v>
      </c>
      <c r="H22" s="22">
        <v>160</v>
      </c>
      <c r="I22" s="22">
        <v>177</v>
      </c>
      <c r="J22" s="22">
        <v>154</v>
      </c>
      <c r="K22" s="22">
        <v>40</v>
      </c>
      <c r="L22" s="22">
        <v>531</v>
      </c>
    </row>
    <row r="23" spans="1:12">
      <c r="A23" s="20" t="s">
        <v>570</v>
      </c>
      <c r="B23" s="22">
        <v>49666.544999999998</v>
      </c>
      <c r="C23" s="26"/>
    </row>
    <row r="24" spans="1:12">
      <c r="A24" s="20" t="s">
        <v>546</v>
      </c>
      <c r="B24" s="22">
        <v>50465.825333333334</v>
      </c>
      <c r="C24" s="26"/>
    </row>
    <row r="25" spans="1:12">
      <c r="A25" s="20" t="s">
        <v>654</v>
      </c>
      <c r="B25" s="22">
        <v>51711.039849340894</v>
      </c>
      <c r="C25" s="26"/>
    </row>
  </sheetData>
  <mergeCells count="6">
    <mergeCell ref="A14:B14"/>
    <mergeCell ref="A1:B1"/>
    <mergeCell ref="D1:E1"/>
    <mergeCell ref="G1:H1"/>
    <mergeCell ref="D9:E9"/>
    <mergeCell ref="G10:L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29FC-66A5-4B29-B90B-9026E450E4CF}">
  <dimension ref="A1:O532"/>
  <sheetViews>
    <sheetView workbookViewId="0">
      <selection activeCell="M9" sqref="M9"/>
    </sheetView>
  </sheetViews>
  <sheetFormatPr defaultRowHeight="14.4"/>
  <cols>
    <col min="1" max="1" width="12.88671875" customWidth="1"/>
    <col min="3" max="3" width="9.77734375" customWidth="1"/>
    <col min="4" max="4" width="18.109375" customWidth="1"/>
    <col min="6" max="6" width="14.88671875" customWidth="1"/>
    <col min="7" max="7" width="16" customWidth="1"/>
    <col min="8" max="8" width="14.6640625" customWidth="1"/>
    <col min="9" max="9" width="11.21875" customWidth="1"/>
    <col min="10" max="10" width="15.33203125" customWidth="1"/>
    <col min="11" max="11" width="14.88671875" customWidth="1"/>
    <col min="12" max="12" width="16.21875" customWidth="1"/>
    <col min="13" max="13" width="24.88671875" customWidth="1"/>
    <col min="14" max="14" width="21.44140625" customWidth="1"/>
    <col min="15" max="15" width="22.6640625" customWidth="1"/>
  </cols>
  <sheetData>
    <row r="1" spans="1:15">
      <c r="A1" s="29" t="s">
        <v>652</v>
      </c>
      <c r="B1" s="29" t="s">
        <v>651</v>
      </c>
      <c r="C1" s="29" t="s">
        <v>667</v>
      </c>
      <c r="D1" s="29" t="s">
        <v>595</v>
      </c>
      <c r="E1" s="29" t="s">
        <v>668</v>
      </c>
      <c r="F1" s="29" t="s">
        <v>669</v>
      </c>
      <c r="G1" s="29" t="s">
        <v>605</v>
      </c>
      <c r="H1" s="29" t="s">
        <v>606</v>
      </c>
      <c r="I1" s="29" t="s">
        <v>670</v>
      </c>
      <c r="J1" s="29" t="s">
        <v>608</v>
      </c>
      <c r="K1" s="29" t="s">
        <v>671</v>
      </c>
      <c r="L1" s="29" t="s">
        <v>666</v>
      </c>
      <c r="M1" s="29" t="s">
        <v>647</v>
      </c>
      <c r="N1" s="29" t="s">
        <v>646</v>
      </c>
      <c r="O1" s="29" t="s">
        <v>649</v>
      </c>
    </row>
    <row r="2" spans="1:15">
      <c r="A2" s="27" t="s">
        <v>99</v>
      </c>
      <c r="B2" s="27">
        <v>60</v>
      </c>
      <c r="C2" s="27" t="s">
        <v>542</v>
      </c>
      <c r="D2" s="27" t="s">
        <v>549</v>
      </c>
      <c r="E2" s="27">
        <v>2022</v>
      </c>
      <c r="F2" s="28">
        <v>6.1</v>
      </c>
      <c r="G2" s="27">
        <v>2.1</v>
      </c>
      <c r="H2" s="28">
        <v>6.3</v>
      </c>
      <c r="I2" s="28">
        <v>4.6005847953216401</v>
      </c>
      <c r="J2" s="28">
        <v>0.6</v>
      </c>
      <c r="K2" s="27" t="s">
        <v>573</v>
      </c>
      <c r="L2" s="27">
        <v>7</v>
      </c>
      <c r="M2" s="27">
        <v>3.93</v>
      </c>
      <c r="N2" s="1" t="s">
        <v>594</v>
      </c>
      <c r="O2" s="27">
        <v>35502.54</v>
      </c>
    </row>
    <row r="3" spans="1:15">
      <c r="A3" s="27" t="s">
        <v>209</v>
      </c>
      <c r="B3" s="27">
        <v>70</v>
      </c>
      <c r="C3" s="27" t="s">
        <v>542</v>
      </c>
      <c r="D3" s="27" t="s">
        <v>555</v>
      </c>
      <c r="E3" s="27">
        <v>2023</v>
      </c>
      <c r="F3" s="28">
        <v>1.6</v>
      </c>
      <c r="G3" s="27">
        <v>2</v>
      </c>
      <c r="H3" s="28">
        <v>4.3</v>
      </c>
      <c r="I3" s="28">
        <v>5</v>
      </c>
      <c r="J3" s="28">
        <v>0.8</v>
      </c>
      <c r="K3" s="27" t="s">
        <v>572</v>
      </c>
      <c r="L3" s="27">
        <v>6</v>
      </c>
      <c r="M3" s="27">
        <v>4.0199999999999996</v>
      </c>
      <c r="N3" s="1" t="s">
        <v>592</v>
      </c>
      <c r="O3" s="27">
        <v>16273.05</v>
      </c>
    </row>
    <row r="4" spans="1:15">
      <c r="A4" s="27" t="s">
        <v>133</v>
      </c>
      <c r="B4" s="27">
        <v>33</v>
      </c>
      <c r="C4" s="27" t="s">
        <v>541</v>
      </c>
      <c r="D4" s="27" t="s">
        <v>554</v>
      </c>
      <c r="E4" s="27">
        <v>2024</v>
      </c>
      <c r="F4" s="28">
        <v>9.1</v>
      </c>
      <c r="G4" s="27">
        <v>7.5</v>
      </c>
      <c r="H4" s="28">
        <v>4.7129629629629637</v>
      </c>
      <c r="I4" s="28">
        <v>7.5</v>
      </c>
      <c r="J4" s="28">
        <v>7</v>
      </c>
      <c r="K4" s="27" t="s">
        <v>574</v>
      </c>
      <c r="L4" s="27">
        <v>4</v>
      </c>
      <c r="M4" s="27">
        <v>7.14</v>
      </c>
      <c r="N4" s="1" t="s">
        <v>590</v>
      </c>
      <c r="O4" s="27">
        <v>22899.65</v>
      </c>
    </row>
    <row r="5" spans="1:15">
      <c r="A5" s="27" t="s">
        <v>502</v>
      </c>
      <c r="B5" s="27">
        <v>87</v>
      </c>
      <c r="C5" s="27" t="s">
        <v>543</v>
      </c>
      <c r="D5" s="27" t="s">
        <v>555</v>
      </c>
      <c r="E5" s="27">
        <v>2022</v>
      </c>
      <c r="F5" s="28">
        <v>7.5</v>
      </c>
      <c r="G5" s="27">
        <v>8.5</v>
      </c>
      <c r="H5" s="28">
        <v>0.9</v>
      </c>
      <c r="I5" s="28">
        <v>2.7</v>
      </c>
      <c r="J5" s="28">
        <v>8</v>
      </c>
      <c r="K5" s="27" t="s">
        <v>570</v>
      </c>
      <c r="L5" s="27">
        <v>4</v>
      </c>
      <c r="M5" s="27">
        <v>6.05</v>
      </c>
      <c r="N5" s="1" t="s">
        <v>590</v>
      </c>
      <c r="O5" s="27">
        <v>10195.07</v>
      </c>
    </row>
    <row r="6" spans="1:15">
      <c r="A6" s="27" t="s">
        <v>400</v>
      </c>
      <c r="B6" s="27">
        <v>56</v>
      </c>
      <c r="C6" s="27" t="s">
        <v>542</v>
      </c>
      <c r="D6" s="27" t="s">
        <v>552</v>
      </c>
      <c r="E6" s="27">
        <v>2022</v>
      </c>
      <c r="F6" s="28">
        <v>5.2</v>
      </c>
      <c r="G6" s="27">
        <v>3.7</v>
      </c>
      <c r="H6" s="28">
        <v>4.4000000000000004</v>
      </c>
      <c r="I6" s="28">
        <v>3.8</v>
      </c>
      <c r="J6" s="28">
        <v>8.1</v>
      </c>
      <c r="K6" s="27" t="s">
        <v>576</v>
      </c>
      <c r="L6" s="27">
        <v>6</v>
      </c>
      <c r="M6" s="27">
        <v>5.66</v>
      </c>
      <c r="N6" s="1" t="s">
        <v>592</v>
      </c>
      <c r="O6" s="27">
        <v>8481.64</v>
      </c>
    </row>
    <row r="7" spans="1:15">
      <c r="A7" s="27" t="s">
        <v>29</v>
      </c>
      <c r="B7" s="27">
        <v>51</v>
      </c>
      <c r="C7" s="27" t="s">
        <v>542</v>
      </c>
      <c r="D7" s="27" t="s">
        <v>550</v>
      </c>
      <c r="E7" s="27">
        <v>2024</v>
      </c>
      <c r="F7" s="28">
        <v>0.6</v>
      </c>
      <c r="G7" s="27">
        <v>9.6999999999999993</v>
      </c>
      <c r="H7" s="28">
        <v>0.8</v>
      </c>
      <c r="I7" s="28">
        <v>5.0527607361963174</v>
      </c>
      <c r="J7" s="28">
        <v>4.2546583850931681</v>
      </c>
      <c r="K7" s="27" t="s">
        <v>572</v>
      </c>
      <c r="L7" s="27">
        <v>8</v>
      </c>
      <c r="M7" s="27">
        <v>3.16</v>
      </c>
      <c r="N7" s="1" t="s">
        <v>594</v>
      </c>
      <c r="O7" s="27">
        <v>76197.009999999995</v>
      </c>
    </row>
    <row r="8" spans="1:15">
      <c r="A8" s="27" t="s">
        <v>530</v>
      </c>
      <c r="B8" s="27">
        <v>29</v>
      </c>
      <c r="C8" s="27" t="s">
        <v>543</v>
      </c>
      <c r="D8" s="27" t="s">
        <v>550</v>
      </c>
      <c r="E8" s="27">
        <v>2022</v>
      </c>
      <c r="F8" s="28">
        <v>1</v>
      </c>
      <c r="G8" s="27">
        <v>9.1999999999999993</v>
      </c>
      <c r="H8" s="28">
        <v>3.7</v>
      </c>
      <c r="I8" s="28">
        <v>3.4</v>
      </c>
      <c r="J8" s="28">
        <v>2.5</v>
      </c>
      <c r="K8" s="27" t="s">
        <v>576</v>
      </c>
      <c r="L8" s="27">
        <v>6</v>
      </c>
      <c r="M8" s="27">
        <v>4.5</v>
      </c>
      <c r="N8" s="1" t="s">
        <v>592</v>
      </c>
      <c r="O8" s="27">
        <v>51711.040000000001</v>
      </c>
    </row>
    <row r="9" spans="1:15">
      <c r="A9" s="27" t="s">
        <v>276</v>
      </c>
      <c r="B9" s="27">
        <v>73</v>
      </c>
      <c r="C9" s="27" t="s">
        <v>541</v>
      </c>
      <c r="D9" s="27" t="s">
        <v>554</v>
      </c>
      <c r="E9" s="27">
        <v>2023</v>
      </c>
      <c r="F9" s="28">
        <v>8.5</v>
      </c>
      <c r="G9" s="27">
        <v>5.7</v>
      </c>
      <c r="H9" s="28">
        <v>0.6</v>
      </c>
      <c r="I9" s="28">
        <v>4.3</v>
      </c>
      <c r="J9" s="28">
        <v>2.9</v>
      </c>
      <c r="K9" s="27" t="s">
        <v>578</v>
      </c>
      <c r="L9" s="27">
        <v>5</v>
      </c>
      <c r="M9" s="27">
        <v>4.58</v>
      </c>
      <c r="N9" s="1" t="s">
        <v>592</v>
      </c>
      <c r="O9" s="27">
        <v>60883.56</v>
      </c>
    </row>
    <row r="10" spans="1:15">
      <c r="A10" s="27" t="s">
        <v>493</v>
      </c>
      <c r="B10" s="27">
        <v>29</v>
      </c>
      <c r="C10" s="27" t="s">
        <v>546</v>
      </c>
      <c r="D10" s="27" t="s">
        <v>553</v>
      </c>
      <c r="E10" s="27">
        <v>2024</v>
      </c>
      <c r="F10" s="28">
        <v>4.0736842105263156</v>
      </c>
      <c r="G10" s="27">
        <v>3.5</v>
      </c>
      <c r="H10" s="28">
        <v>7.1</v>
      </c>
      <c r="I10" s="28">
        <v>2.2000000000000002</v>
      </c>
      <c r="J10" s="28">
        <v>3.6</v>
      </c>
      <c r="K10" s="27" t="s">
        <v>579</v>
      </c>
      <c r="L10" s="27">
        <v>7</v>
      </c>
      <c r="M10" s="27">
        <v>3.3</v>
      </c>
      <c r="N10" s="1" t="s">
        <v>594</v>
      </c>
      <c r="O10" s="27">
        <v>94485.75</v>
      </c>
    </row>
    <row r="11" spans="1:15">
      <c r="A11" s="27" t="s">
        <v>168</v>
      </c>
      <c r="B11" s="27">
        <v>33</v>
      </c>
      <c r="C11" s="27" t="s">
        <v>543</v>
      </c>
      <c r="D11" s="27" t="s">
        <v>550</v>
      </c>
      <c r="E11" s="27">
        <v>2023</v>
      </c>
      <c r="F11" s="28">
        <v>7.7</v>
      </c>
      <c r="G11" s="27">
        <v>4.5</v>
      </c>
      <c r="H11" s="28">
        <v>2.4</v>
      </c>
      <c r="I11" s="28">
        <v>2.2999999999999998</v>
      </c>
      <c r="J11" s="28">
        <v>5.2</v>
      </c>
      <c r="K11" s="27" t="s">
        <v>574</v>
      </c>
      <c r="L11" s="27">
        <v>6</v>
      </c>
      <c r="M11" s="27">
        <v>4.6900000000000004</v>
      </c>
      <c r="N11" s="1" t="s">
        <v>592</v>
      </c>
      <c r="O11" s="27">
        <v>43439</v>
      </c>
    </row>
    <row r="12" spans="1:15">
      <c r="A12" s="27" t="s">
        <v>302</v>
      </c>
      <c r="B12" s="27">
        <v>23</v>
      </c>
      <c r="C12" s="27" t="s">
        <v>541</v>
      </c>
      <c r="D12" s="27" t="s">
        <v>556</v>
      </c>
      <c r="E12" s="27">
        <v>2024</v>
      </c>
      <c r="F12" s="28">
        <v>1.6</v>
      </c>
      <c r="G12" s="27">
        <v>0.5</v>
      </c>
      <c r="H12" s="28">
        <v>3.5</v>
      </c>
      <c r="I12" s="28">
        <v>4.5999999999999996</v>
      </c>
      <c r="J12" s="28">
        <v>7.8</v>
      </c>
      <c r="K12" s="27" t="s">
        <v>572</v>
      </c>
      <c r="L12" s="27">
        <v>8</v>
      </c>
      <c r="M12" s="27">
        <v>3.3</v>
      </c>
      <c r="N12" s="1" t="s">
        <v>594</v>
      </c>
      <c r="O12" s="27">
        <v>66140.429999999993</v>
      </c>
    </row>
    <row r="13" spans="1:15">
      <c r="A13" s="27" t="s">
        <v>534</v>
      </c>
      <c r="B13" s="27">
        <v>47</v>
      </c>
      <c r="C13" s="27" t="s">
        <v>542</v>
      </c>
      <c r="D13" s="27" t="s">
        <v>645</v>
      </c>
      <c r="E13" s="27">
        <v>2024</v>
      </c>
      <c r="F13" s="28">
        <v>7.7</v>
      </c>
      <c r="G13" s="27">
        <v>0.9</v>
      </c>
      <c r="H13" s="28">
        <v>3</v>
      </c>
      <c r="I13" s="28">
        <v>6.5</v>
      </c>
      <c r="J13" s="28">
        <v>5.9</v>
      </c>
      <c r="K13" s="27" t="s">
        <v>572</v>
      </c>
      <c r="L13" s="27">
        <v>5</v>
      </c>
      <c r="M13" s="27">
        <v>4.9800000000000004</v>
      </c>
      <c r="N13" s="1" t="s">
        <v>592</v>
      </c>
      <c r="O13" s="27">
        <v>51804.21</v>
      </c>
    </row>
    <row r="14" spans="1:15">
      <c r="A14" s="27" t="s">
        <v>395</v>
      </c>
      <c r="B14" s="27">
        <v>48</v>
      </c>
      <c r="C14" s="27" t="s">
        <v>542</v>
      </c>
      <c r="D14" s="27" t="s">
        <v>549</v>
      </c>
      <c r="E14" s="27">
        <v>2022</v>
      </c>
      <c r="F14" s="28">
        <v>4.5</v>
      </c>
      <c r="G14" s="27">
        <v>8.3000000000000007</v>
      </c>
      <c r="H14" s="28">
        <v>5.9</v>
      </c>
      <c r="I14" s="28">
        <v>2.1</v>
      </c>
      <c r="J14" s="28">
        <v>7</v>
      </c>
      <c r="K14" s="27" t="s">
        <v>572</v>
      </c>
      <c r="L14" s="27">
        <v>5</v>
      </c>
      <c r="M14" s="27">
        <v>4.8</v>
      </c>
      <c r="N14" s="1" t="s">
        <v>592</v>
      </c>
      <c r="O14" s="27">
        <v>67604.88</v>
      </c>
    </row>
    <row r="15" spans="1:15">
      <c r="A15" s="27" t="s">
        <v>515</v>
      </c>
      <c r="B15" s="27">
        <v>82</v>
      </c>
      <c r="C15" s="27" t="s">
        <v>542</v>
      </c>
      <c r="D15" s="27" t="s">
        <v>554</v>
      </c>
      <c r="E15" s="27">
        <v>2024</v>
      </c>
      <c r="F15" s="28">
        <v>6.3</v>
      </c>
      <c r="G15" s="27">
        <v>6.4</v>
      </c>
      <c r="H15" s="28">
        <v>3.8</v>
      </c>
      <c r="I15" s="28">
        <v>8.1999999999999993</v>
      </c>
      <c r="J15" s="28">
        <v>2.1</v>
      </c>
      <c r="K15" s="27" t="s">
        <v>574</v>
      </c>
      <c r="L15" s="27">
        <v>4</v>
      </c>
      <c r="M15" s="27">
        <v>6.17</v>
      </c>
      <c r="N15" s="1" t="s">
        <v>590</v>
      </c>
      <c r="O15" s="27">
        <v>23446.240000000002</v>
      </c>
    </row>
    <row r="16" spans="1:15">
      <c r="A16" s="27" t="s">
        <v>471</v>
      </c>
      <c r="B16" s="27">
        <v>39</v>
      </c>
      <c r="C16" s="27" t="s">
        <v>546</v>
      </c>
      <c r="D16" s="27" t="s">
        <v>552</v>
      </c>
      <c r="E16" s="27">
        <v>2022</v>
      </c>
      <c r="F16" s="28">
        <v>8.5</v>
      </c>
      <c r="G16" s="27">
        <v>2.7</v>
      </c>
      <c r="H16" s="28">
        <v>6.6</v>
      </c>
      <c r="I16" s="28">
        <v>7.6</v>
      </c>
      <c r="J16" s="28">
        <v>8.8000000000000007</v>
      </c>
      <c r="K16" s="27" t="s">
        <v>571</v>
      </c>
      <c r="L16" s="27">
        <v>4</v>
      </c>
      <c r="M16" s="27">
        <v>6.03</v>
      </c>
      <c r="N16" s="1" t="s">
        <v>590</v>
      </c>
      <c r="O16" s="27">
        <v>73059.179999999993</v>
      </c>
    </row>
    <row r="17" spans="1:15">
      <c r="A17" s="27" t="s">
        <v>412</v>
      </c>
      <c r="B17" s="27">
        <v>76</v>
      </c>
      <c r="C17" s="27" t="s">
        <v>542</v>
      </c>
      <c r="D17" s="27" t="s">
        <v>550</v>
      </c>
      <c r="E17" s="27">
        <v>2024</v>
      </c>
      <c r="F17" s="28">
        <v>0.7</v>
      </c>
      <c r="G17" s="27">
        <v>5.5</v>
      </c>
      <c r="H17" s="28">
        <v>7.7</v>
      </c>
      <c r="I17" s="28">
        <v>8.1</v>
      </c>
      <c r="J17" s="28">
        <v>1.3</v>
      </c>
      <c r="K17" s="27" t="s">
        <v>574</v>
      </c>
      <c r="L17" s="27">
        <v>5</v>
      </c>
      <c r="M17" s="27">
        <v>5.1100000000000003</v>
      </c>
      <c r="N17" s="1" t="s">
        <v>592</v>
      </c>
      <c r="O17" s="27">
        <v>38236.050000000003</v>
      </c>
    </row>
    <row r="18" spans="1:15">
      <c r="A18" s="27" t="s">
        <v>69</v>
      </c>
      <c r="B18" s="27">
        <v>84</v>
      </c>
      <c r="C18" s="27" t="s">
        <v>543</v>
      </c>
      <c r="D18" s="27" t="s">
        <v>554</v>
      </c>
      <c r="E18" s="27">
        <v>2022</v>
      </c>
      <c r="F18" s="28">
        <v>8.4</v>
      </c>
      <c r="G18" s="27">
        <v>6.3</v>
      </c>
      <c r="H18" s="28">
        <v>1.9</v>
      </c>
      <c r="I18" s="28">
        <v>1.9</v>
      </c>
      <c r="J18" s="28">
        <v>8.5</v>
      </c>
      <c r="K18" s="27" t="s">
        <v>546</v>
      </c>
      <c r="L18" s="27">
        <v>5</v>
      </c>
      <c r="M18" s="27">
        <v>4.58</v>
      </c>
      <c r="N18" s="1" t="s">
        <v>592</v>
      </c>
      <c r="O18" s="27">
        <v>78070.97</v>
      </c>
    </row>
    <row r="19" spans="1:15">
      <c r="A19" s="27" t="s">
        <v>120</v>
      </c>
      <c r="B19" s="27">
        <v>45</v>
      </c>
      <c r="C19" s="27" t="s">
        <v>542</v>
      </c>
      <c r="D19" s="27" t="s">
        <v>551</v>
      </c>
      <c r="E19" s="27">
        <v>2024</v>
      </c>
      <c r="F19" s="28">
        <v>6</v>
      </c>
      <c r="G19" s="27">
        <v>5.7</v>
      </c>
      <c r="H19" s="28">
        <v>3.2</v>
      </c>
      <c r="I19" s="28">
        <v>1.2</v>
      </c>
      <c r="J19" s="28">
        <v>6.3</v>
      </c>
      <c r="K19" s="27" t="s">
        <v>571</v>
      </c>
      <c r="L19" s="27">
        <v>8</v>
      </c>
      <c r="M19" s="27">
        <v>3.62</v>
      </c>
      <c r="N19" s="1" t="s">
        <v>594</v>
      </c>
      <c r="O19" s="27">
        <v>89146.62</v>
      </c>
    </row>
    <row r="20" spans="1:15">
      <c r="A20" s="27" t="s">
        <v>333</v>
      </c>
      <c r="B20" s="27">
        <v>35</v>
      </c>
      <c r="C20" s="27" t="s">
        <v>546</v>
      </c>
      <c r="D20" s="27" t="s">
        <v>554</v>
      </c>
      <c r="E20" s="27">
        <v>2023</v>
      </c>
      <c r="F20" s="28">
        <v>3.3</v>
      </c>
      <c r="G20" s="27">
        <v>6.1</v>
      </c>
      <c r="H20" s="28">
        <v>0.8</v>
      </c>
      <c r="I20" s="28">
        <v>0.4</v>
      </c>
      <c r="J20" s="28">
        <v>9.8000000000000007</v>
      </c>
      <c r="K20" s="27" t="s">
        <v>546</v>
      </c>
      <c r="L20" s="27">
        <v>5</v>
      </c>
      <c r="M20" s="27">
        <v>4.45</v>
      </c>
      <c r="N20" s="1" t="s">
        <v>592</v>
      </c>
      <c r="O20" s="27">
        <v>15035.87</v>
      </c>
    </row>
    <row r="21" spans="1:15">
      <c r="A21" s="27" t="s">
        <v>117</v>
      </c>
      <c r="B21" s="27">
        <v>41</v>
      </c>
      <c r="C21" s="27" t="s">
        <v>543</v>
      </c>
      <c r="D21" s="27" t="s">
        <v>551</v>
      </c>
      <c r="E21" s="27">
        <v>2022</v>
      </c>
      <c r="F21" s="28">
        <v>7.7</v>
      </c>
      <c r="G21" s="27">
        <v>8.5</v>
      </c>
      <c r="H21" s="28">
        <v>8.1999999999999993</v>
      </c>
      <c r="I21" s="28">
        <v>5.4</v>
      </c>
      <c r="J21" s="28">
        <v>7.6</v>
      </c>
      <c r="K21" s="27" t="s">
        <v>574</v>
      </c>
      <c r="L21" s="27">
        <v>5</v>
      </c>
      <c r="M21" s="27">
        <v>5.97</v>
      </c>
      <c r="N21" s="1" t="s">
        <v>592</v>
      </c>
      <c r="O21" s="27">
        <v>95857.65</v>
      </c>
    </row>
    <row r="22" spans="1:15">
      <c r="A22" s="27" t="s">
        <v>18</v>
      </c>
      <c r="B22" s="27">
        <v>24</v>
      </c>
      <c r="C22" s="27" t="s">
        <v>542</v>
      </c>
      <c r="D22" s="27" t="s">
        <v>553</v>
      </c>
      <c r="E22" s="27">
        <v>2024</v>
      </c>
      <c r="F22" s="28">
        <v>6.7</v>
      </c>
      <c r="G22" s="27">
        <v>6.2</v>
      </c>
      <c r="H22" s="28">
        <v>0.5</v>
      </c>
      <c r="I22" s="28">
        <v>3.9</v>
      </c>
      <c r="J22" s="28">
        <v>9.4</v>
      </c>
      <c r="K22" s="27" t="s">
        <v>573</v>
      </c>
      <c r="L22" s="27">
        <v>5</v>
      </c>
      <c r="M22" s="27">
        <v>5.59</v>
      </c>
      <c r="N22" s="1" t="s">
        <v>592</v>
      </c>
      <c r="O22" s="27">
        <v>23864.53</v>
      </c>
    </row>
    <row r="23" spans="1:15">
      <c r="A23" s="27" t="s">
        <v>24</v>
      </c>
      <c r="B23" s="27">
        <v>22</v>
      </c>
      <c r="C23" s="27" t="s">
        <v>542</v>
      </c>
      <c r="D23" s="27" t="s">
        <v>556</v>
      </c>
      <c r="E23" s="27">
        <v>2023</v>
      </c>
      <c r="F23" s="28">
        <v>4.2</v>
      </c>
      <c r="G23" s="27">
        <v>0.1</v>
      </c>
      <c r="H23" s="28">
        <v>6.9</v>
      </c>
      <c r="I23" s="28">
        <v>7.9</v>
      </c>
      <c r="J23" s="28">
        <v>0.9</v>
      </c>
      <c r="K23" s="27" t="s">
        <v>546</v>
      </c>
      <c r="L23" s="27">
        <v>6</v>
      </c>
      <c r="M23" s="27">
        <v>4.24</v>
      </c>
      <c r="N23" s="1" t="s">
        <v>592</v>
      </c>
      <c r="O23" s="27">
        <v>66182.17</v>
      </c>
    </row>
    <row r="24" spans="1:15">
      <c r="A24" s="27" t="s">
        <v>191</v>
      </c>
      <c r="B24" s="27">
        <v>54</v>
      </c>
      <c r="C24" s="27" t="s">
        <v>546</v>
      </c>
      <c r="D24" s="27" t="s">
        <v>553</v>
      </c>
      <c r="E24" s="27">
        <v>2023</v>
      </c>
      <c r="F24" s="28">
        <v>3.5</v>
      </c>
      <c r="G24" s="27">
        <v>5.2</v>
      </c>
      <c r="H24" s="28">
        <v>9.5</v>
      </c>
      <c r="I24" s="28">
        <v>5.2</v>
      </c>
      <c r="J24" s="28">
        <v>9.1</v>
      </c>
      <c r="K24" s="27" t="s">
        <v>546</v>
      </c>
      <c r="L24" s="27">
        <v>6</v>
      </c>
      <c r="M24" s="27">
        <v>4.88</v>
      </c>
      <c r="N24" s="1" t="s">
        <v>592</v>
      </c>
      <c r="O24" s="27">
        <v>98864.58</v>
      </c>
    </row>
    <row r="25" spans="1:15">
      <c r="A25" s="27" t="s">
        <v>266</v>
      </c>
      <c r="B25" s="27">
        <v>79</v>
      </c>
      <c r="C25" s="27" t="s">
        <v>541</v>
      </c>
      <c r="D25" s="27" t="s">
        <v>550</v>
      </c>
      <c r="E25" s="27">
        <v>2022</v>
      </c>
      <c r="F25" s="28">
        <v>1.2</v>
      </c>
      <c r="G25" s="27">
        <v>0.8</v>
      </c>
      <c r="H25" s="28">
        <v>4.8648148148148174</v>
      </c>
      <c r="I25" s="28">
        <v>3.4</v>
      </c>
      <c r="J25" s="28">
        <v>0.9</v>
      </c>
      <c r="K25" s="27" t="s">
        <v>572</v>
      </c>
      <c r="L25" s="27">
        <v>8</v>
      </c>
      <c r="M25" s="27">
        <v>2.36</v>
      </c>
      <c r="N25" s="1" t="s">
        <v>594</v>
      </c>
      <c r="O25" s="27">
        <v>69802.05</v>
      </c>
    </row>
    <row r="26" spans="1:15">
      <c r="A26" s="27" t="s">
        <v>143</v>
      </c>
      <c r="B26" s="27">
        <v>38</v>
      </c>
      <c r="C26" s="27" t="s">
        <v>542</v>
      </c>
      <c r="D26" s="27" t="s">
        <v>553</v>
      </c>
      <c r="E26" s="27">
        <v>2022</v>
      </c>
      <c r="F26" s="28">
        <v>6.2</v>
      </c>
      <c r="G26" s="27">
        <v>5.7</v>
      </c>
      <c r="H26" s="28">
        <v>6.4</v>
      </c>
      <c r="I26" s="28">
        <v>4.6404907975460139</v>
      </c>
      <c r="J26" s="28">
        <v>3.4</v>
      </c>
      <c r="K26" s="27" t="s">
        <v>573</v>
      </c>
      <c r="L26" s="27">
        <v>6</v>
      </c>
      <c r="M26" s="27">
        <v>5.04</v>
      </c>
      <c r="N26" s="1" t="s">
        <v>592</v>
      </c>
      <c r="O26" s="27">
        <v>59531.44</v>
      </c>
    </row>
    <row r="27" spans="1:15">
      <c r="A27" s="27" t="s">
        <v>137</v>
      </c>
      <c r="B27" s="27">
        <v>41</v>
      </c>
      <c r="C27" s="27" t="s">
        <v>546</v>
      </c>
      <c r="D27" s="27" t="s">
        <v>551</v>
      </c>
      <c r="E27" s="27">
        <v>2023</v>
      </c>
      <c r="F27" s="28">
        <v>0.7</v>
      </c>
      <c r="G27" s="27">
        <v>4.4000000000000004</v>
      </c>
      <c r="H27" s="28">
        <v>7.1</v>
      </c>
      <c r="I27" s="28">
        <v>2</v>
      </c>
      <c r="J27" s="28">
        <v>2.6</v>
      </c>
      <c r="K27" s="27" t="s">
        <v>576</v>
      </c>
      <c r="L27" s="27">
        <v>8</v>
      </c>
      <c r="M27" s="27">
        <v>3.31</v>
      </c>
      <c r="N27" s="1" t="s">
        <v>594</v>
      </c>
      <c r="O27" s="27">
        <v>60800.41</v>
      </c>
    </row>
    <row r="28" spans="1:15">
      <c r="A28" s="27" t="s">
        <v>475</v>
      </c>
      <c r="B28" s="27">
        <v>50</v>
      </c>
      <c r="C28" s="27" t="s">
        <v>542</v>
      </c>
      <c r="D28" s="27" t="s">
        <v>549</v>
      </c>
      <c r="E28" s="27">
        <v>2024</v>
      </c>
      <c r="F28" s="28">
        <v>9.1999999999999993</v>
      </c>
      <c r="G28" s="27">
        <v>8.1999999999999993</v>
      </c>
      <c r="H28" s="28">
        <v>4.5</v>
      </c>
      <c r="I28" s="28">
        <v>0.8</v>
      </c>
      <c r="J28" s="28">
        <v>8.8000000000000007</v>
      </c>
      <c r="K28" s="27" t="s">
        <v>571</v>
      </c>
      <c r="L28" s="27">
        <v>5</v>
      </c>
      <c r="M28" s="27">
        <v>5.85</v>
      </c>
      <c r="N28" s="1" t="s">
        <v>592</v>
      </c>
      <c r="O28" s="27">
        <v>46714.31</v>
      </c>
    </row>
    <row r="29" spans="1:15">
      <c r="A29" s="27" t="s">
        <v>140</v>
      </c>
      <c r="B29" s="27">
        <v>42</v>
      </c>
      <c r="C29" s="27" t="s">
        <v>542</v>
      </c>
      <c r="D29" s="27" t="s">
        <v>553</v>
      </c>
      <c r="E29" s="27">
        <v>2024</v>
      </c>
      <c r="F29" s="28">
        <v>1</v>
      </c>
      <c r="G29" s="27">
        <v>8.1999999999999993</v>
      </c>
      <c r="H29" s="28">
        <v>0.4</v>
      </c>
      <c r="I29" s="28">
        <v>8.9</v>
      </c>
      <c r="J29" s="28">
        <v>0.6</v>
      </c>
      <c r="K29" s="27" t="s">
        <v>578</v>
      </c>
      <c r="L29" s="27">
        <v>1</v>
      </c>
      <c r="M29" s="27">
        <v>19.82</v>
      </c>
      <c r="N29" s="1" t="s">
        <v>591</v>
      </c>
      <c r="O29" s="27">
        <v>93205.45</v>
      </c>
    </row>
    <row r="30" spans="1:15">
      <c r="A30" s="27" t="s">
        <v>359</v>
      </c>
      <c r="B30" s="27">
        <v>50</v>
      </c>
      <c r="C30" s="27" t="s">
        <v>542</v>
      </c>
      <c r="D30" s="27" t="s">
        <v>555</v>
      </c>
      <c r="E30" s="27">
        <v>2024</v>
      </c>
      <c r="F30" s="28">
        <v>0.9</v>
      </c>
      <c r="G30" s="27">
        <v>1.2</v>
      </c>
      <c r="H30" s="28">
        <v>4.5</v>
      </c>
      <c r="I30" s="28">
        <v>7.3</v>
      </c>
      <c r="J30" s="28">
        <v>1</v>
      </c>
      <c r="K30" s="27" t="s">
        <v>571</v>
      </c>
      <c r="L30" s="27">
        <v>5</v>
      </c>
      <c r="M30" s="27">
        <v>4.42</v>
      </c>
      <c r="N30" s="1" t="s">
        <v>592</v>
      </c>
      <c r="O30" s="27">
        <v>8993.81</v>
      </c>
    </row>
    <row r="31" spans="1:15">
      <c r="A31" s="27" t="s">
        <v>148</v>
      </c>
      <c r="B31" s="27">
        <v>30</v>
      </c>
      <c r="C31" s="27" t="s">
        <v>541</v>
      </c>
      <c r="D31" s="27" t="s">
        <v>555</v>
      </c>
      <c r="E31" s="27">
        <v>2024</v>
      </c>
      <c r="F31" s="28">
        <v>6.3</v>
      </c>
      <c r="G31" s="27">
        <v>8</v>
      </c>
      <c r="H31" s="28">
        <v>7.6</v>
      </c>
      <c r="I31" s="28">
        <v>6.2</v>
      </c>
      <c r="J31" s="28">
        <v>2.5</v>
      </c>
      <c r="K31" s="27" t="s">
        <v>574</v>
      </c>
      <c r="L31" s="27">
        <v>3</v>
      </c>
      <c r="M31" s="27">
        <v>6.63</v>
      </c>
      <c r="N31" s="1" t="s">
        <v>590</v>
      </c>
      <c r="O31" s="27">
        <v>23062.07</v>
      </c>
    </row>
    <row r="32" spans="1:15">
      <c r="A32" s="27" t="s">
        <v>245</v>
      </c>
      <c r="B32" s="27">
        <v>67</v>
      </c>
      <c r="C32" s="27" t="s">
        <v>542</v>
      </c>
      <c r="D32" s="27" t="s">
        <v>554</v>
      </c>
      <c r="E32" s="27">
        <v>2024</v>
      </c>
      <c r="F32" s="28">
        <v>5.7</v>
      </c>
      <c r="G32" s="27">
        <v>4.8</v>
      </c>
      <c r="H32" s="28">
        <v>7.4</v>
      </c>
      <c r="I32" s="28">
        <v>2.2000000000000002</v>
      </c>
      <c r="J32" s="28">
        <v>7</v>
      </c>
      <c r="K32" s="27" t="s">
        <v>572</v>
      </c>
      <c r="L32" s="27">
        <v>3</v>
      </c>
      <c r="M32" s="27">
        <v>6.07</v>
      </c>
      <c r="N32" s="1" t="s">
        <v>590</v>
      </c>
      <c r="O32" s="27">
        <v>13404.04</v>
      </c>
    </row>
    <row r="33" spans="1:15">
      <c r="A33" s="27" t="s">
        <v>347</v>
      </c>
      <c r="B33" s="27">
        <v>74</v>
      </c>
      <c r="C33" s="27" t="s">
        <v>541</v>
      </c>
      <c r="D33" s="27" t="s">
        <v>551</v>
      </c>
      <c r="E33" s="27">
        <v>2024</v>
      </c>
      <c r="F33" s="28">
        <v>6.3</v>
      </c>
      <c r="G33" s="27">
        <v>4.8</v>
      </c>
      <c r="H33" s="28">
        <v>4.9000000000000004</v>
      </c>
      <c r="I33" s="28">
        <v>9.1</v>
      </c>
      <c r="J33" s="28">
        <v>1.2</v>
      </c>
      <c r="K33" s="27" t="s">
        <v>572</v>
      </c>
      <c r="L33" s="27">
        <v>5</v>
      </c>
      <c r="M33" s="27">
        <v>5.34</v>
      </c>
      <c r="N33" s="1" t="s">
        <v>592</v>
      </c>
      <c r="O33" s="27">
        <v>65768.34</v>
      </c>
    </row>
    <row r="34" spans="1:15">
      <c r="A34" s="27" t="s">
        <v>506</v>
      </c>
      <c r="B34" s="27">
        <v>59</v>
      </c>
      <c r="C34" s="27" t="s">
        <v>542</v>
      </c>
      <c r="D34" s="27" t="s">
        <v>556</v>
      </c>
      <c r="E34" s="27">
        <v>2023</v>
      </c>
      <c r="F34" s="28">
        <v>1.7</v>
      </c>
      <c r="G34" s="27">
        <v>5.3</v>
      </c>
      <c r="H34" s="28">
        <v>3.9</v>
      </c>
      <c r="I34" s="28">
        <v>3</v>
      </c>
      <c r="J34" s="28">
        <v>5.2</v>
      </c>
      <c r="K34" s="27" t="s">
        <v>576</v>
      </c>
      <c r="L34" s="27">
        <v>7</v>
      </c>
      <c r="M34" s="27">
        <v>3.44</v>
      </c>
      <c r="N34" s="1" t="s">
        <v>594</v>
      </c>
      <c r="O34" s="27">
        <v>69969.009999999995</v>
      </c>
    </row>
    <row r="35" spans="1:15">
      <c r="A35" s="27" t="s">
        <v>436</v>
      </c>
      <c r="B35" s="27">
        <v>33</v>
      </c>
      <c r="C35" s="27" t="s">
        <v>543</v>
      </c>
      <c r="D35" s="27" t="s">
        <v>672</v>
      </c>
      <c r="E35" s="27">
        <v>2024</v>
      </c>
      <c r="F35" s="28">
        <v>4.8</v>
      </c>
      <c r="G35" s="27">
        <v>9.6</v>
      </c>
      <c r="H35" s="28">
        <v>3</v>
      </c>
      <c r="I35" s="28">
        <v>2.2999999999999998</v>
      </c>
      <c r="J35" s="28">
        <v>4.2398648648648649</v>
      </c>
      <c r="K35" s="27" t="s">
        <v>571</v>
      </c>
      <c r="L35" s="27">
        <v>6</v>
      </c>
      <c r="M35" s="27">
        <v>4.17</v>
      </c>
      <c r="N35" s="1" t="s">
        <v>592</v>
      </c>
      <c r="O35" s="27">
        <v>93182.85</v>
      </c>
    </row>
    <row r="36" spans="1:15">
      <c r="A36" s="27" t="s">
        <v>504</v>
      </c>
      <c r="B36" s="27">
        <v>24</v>
      </c>
      <c r="C36" s="27" t="s">
        <v>541</v>
      </c>
      <c r="D36" s="27" t="s">
        <v>552</v>
      </c>
      <c r="E36" s="27">
        <v>2023</v>
      </c>
      <c r="F36" s="28">
        <v>6.6</v>
      </c>
      <c r="G36" s="27">
        <v>2</v>
      </c>
      <c r="H36" s="28">
        <v>5.8</v>
      </c>
      <c r="I36" s="28">
        <v>5.3</v>
      </c>
      <c r="J36" s="28">
        <v>0.6</v>
      </c>
      <c r="K36" s="27" t="s">
        <v>573</v>
      </c>
      <c r="L36" s="27">
        <v>6</v>
      </c>
      <c r="M36" s="27">
        <v>4.79</v>
      </c>
      <c r="N36" s="1" t="s">
        <v>592</v>
      </c>
      <c r="O36" s="27">
        <v>41115.230000000003</v>
      </c>
    </row>
    <row r="37" spans="1:15">
      <c r="A37" s="27" t="s">
        <v>405</v>
      </c>
      <c r="B37" s="27">
        <v>41</v>
      </c>
      <c r="C37" s="27" t="s">
        <v>542</v>
      </c>
      <c r="D37" s="27" t="s">
        <v>551</v>
      </c>
      <c r="E37" s="27">
        <v>2022</v>
      </c>
      <c r="F37" s="28">
        <v>1.9</v>
      </c>
      <c r="G37" s="27">
        <v>3.2</v>
      </c>
      <c r="H37" s="28">
        <v>6.9</v>
      </c>
      <c r="I37" s="28">
        <v>8.9</v>
      </c>
      <c r="J37" s="28">
        <v>6</v>
      </c>
      <c r="K37" s="27" t="s">
        <v>574</v>
      </c>
      <c r="L37" s="27">
        <v>6</v>
      </c>
      <c r="M37" s="27">
        <v>5.69</v>
      </c>
      <c r="N37" s="1" t="s">
        <v>592</v>
      </c>
      <c r="O37" s="27">
        <v>29291.96</v>
      </c>
    </row>
    <row r="38" spans="1:15">
      <c r="A38" s="27" t="s">
        <v>111</v>
      </c>
      <c r="B38" s="27">
        <v>54</v>
      </c>
      <c r="C38" s="27" t="s">
        <v>542</v>
      </c>
      <c r="D38" s="27" t="s">
        <v>552</v>
      </c>
      <c r="E38" s="27">
        <v>2024</v>
      </c>
      <c r="F38" s="28">
        <v>5</v>
      </c>
      <c r="G38" s="27">
        <v>0.8</v>
      </c>
      <c r="H38" s="28">
        <v>7.7</v>
      </c>
      <c r="I38" s="28">
        <v>3.4</v>
      </c>
      <c r="J38" s="28">
        <v>4</v>
      </c>
      <c r="K38" s="27" t="s">
        <v>576</v>
      </c>
      <c r="L38" s="27">
        <v>5</v>
      </c>
      <c r="M38" s="27">
        <v>4.7</v>
      </c>
      <c r="N38" s="1" t="s">
        <v>592</v>
      </c>
      <c r="O38" s="27">
        <v>32778.75</v>
      </c>
    </row>
    <row r="39" spans="1:15">
      <c r="A39" s="27" t="s">
        <v>320</v>
      </c>
      <c r="B39" s="27">
        <v>69</v>
      </c>
      <c r="C39" s="27" t="s">
        <v>541</v>
      </c>
      <c r="D39" s="27" t="s">
        <v>551</v>
      </c>
      <c r="E39" s="27">
        <v>2022</v>
      </c>
      <c r="F39" s="28">
        <v>0.2</v>
      </c>
      <c r="G39" s="27">
        <v>2.9</v>
      </c>
      <c r="H39" s="28">
        <v>9.8000000000000007</v>
      </c>
      <c r="I39" s="28">
        <v>0.6</v>
      </c>
      <c r="J39" s="28">
        <v>2.9</v>
      </c>
      <c r="K39" s="27" t="s">
        <v>574</v>
      </c>
      <c r="L39" s="27">
        <v>8</v>
      </c>
      <c r="M39" s="27">
        <v>2.79</v>
      </c>
      <c r="N39" s="1" t="s">
        <v>594</v>
      </c>
      <c r="O39" s="27">
        <v>78214.320000000007</v>
      </c>
    </row>
    <row r="40" spans="1:15">
      <c r="A40" s="27" t="s">
        <v>155</v>
      </c>
      <c r="B40" s="27">
        <v>60</v>
      </c>
      <c r="C40" s="27" t="s">
        <v>542</v>
      </c>
      <c r="D40" s="27" t="s">
        <v>672</v>
      </c>
      <c r="E40" s="27">
        <v>2024</v>
      </c>
      <c r="F40" s="28">
        <v>8.6999999999999993</v>
      </c>
      <c r="G40" s="27">
        <v>5.4</v>
      </c>
      <c r="H40" s="28">
        <v>0.2</v>
      </c>
      <c r="I40" s="28">
        <v>2.2000000000000002</v>
      </c>
      <c r="J40" s="28">
        <v>1.7</v>
      </c>
      <c r="K40" s="27" t="s">
        <v>576</v>
      </c>
      <c r="L40" s="27">
        <v>5</v>
      </c>
      <c r="M40" s="27">
        <v>4.09</v>
      </c>
      <c r="N40" s="1" t="s">
        <v>592</v>
      </c>
      <c r="O40" s="27">
        <v>49539.28</v>
      </c>
    </row>
    <row r="41" spans="1:15">
      <c r="A41" s="27" t="s">
        <v>375</v>
      </c>
      <c r="B41" s="27">
        <v>99</v>
      </c>
      <c r="C41" s="27" t="s">
        <v>546</v>
      </c>
      <c r="D41" s="27" t="s">
        <v>556</v>
      </c>
      <c r="E41" s="27">
        <v>2023</v>
      </c>
      <c r="F41" s="28">
        <v>5.2094339622641526</v>
      </c>
      <c r="G41" s="27">
        <v>3.8</v>
      </c>
      <c r="H41" s="28">
        <v>6.1</v>
      </c>
      <c r="I41" s="28">
        <v>1.6</v>
      </c>
      <c r="J41" s="28">
        <v>9.1999999999999993</v>
      </c>
      <c r="K41" s="27" t="s">
        <v>576</v>
      </c>
      <c r="L41" s="27">
        <v>6</v>
      </c>
      <c r="M41" s="27">
        <v>5.68</v>
      </c>
      <c r="N41" s="1" t="s">
        <v>592</v>
      </c>
      <c r="O41" s="27">
        <v>36235.599999999999</v>
      </c>
    </row>
    <row r="42" spans="1:15">
      <c r="A42" s="27" t="s">
        <v>478</v>
      </c>
      <c r="B42" s="27">
        <v>86</v>
      </c>
      <c r="C42" s="27" t="s">
        <v>542</v>
      </c>
      <c r="D42" s="27" t="s">
        <v>552</v>
      </c>
      <c r="E42" s="27">
        <v>2022</v>
      </c>
      <c r="F42" s="28">
        <v>4.0999999999999996</v>
      </c>
      <c r="G42" s="27">
        <v>9.3000000000000007</v>
      </c>
      <c r="H42" s="28">
        <v>3.4</v>
      </c>
      <c r="I42" s="28">
        <v>9.1</v>
      </c>
      <c r="J42" s="28">
        <v>4.0999999999999996</v>
      </c>
      <c r="K42" s="27" t="s">
        <v>546</v>
      </c>
      <c r="L42" s="27">
        <v>5</v>
      </c>
      <c r="M42" s="27">
        <v>5.13</v>
      </c>
      <c r="N42" s="1" t="s">
        <v>592</v>
      </c>
      <c r="O42" s="27">
        <v>91374.69</v>
      </c>
    </row>
    <row r="43" spans="1:15">
      <c r="A43" s="27" t="s">
        <v>257</v>
      </c>
      <c r="B43" s="27">
        <v>70</v>
      </c>
      <c r="C43" s="27" t="s">
        <v>543</v>
      </c>
      <c r="D43" s="27" t="s">
        <v>553</v>
      </c>
      <c r="E43" s="27">
        <v>2023</v>
      </c>
      <c r="F43" s="28">
        <v>8.8000000000000007</v>
      </c>
      <c r="G43" s="27">
        <v>7</v>
      </c>
      <c r="H43" s="28">
        <v>2.9</v>
      </c>
      <c r="I43" s="28">
        <v>4.9000000000000004</v>
      </c>
      <c r="J43" s="28">
        <v>6.4</v>
      </c>
      <c r="K43" s="27" t="s">
        <v>570</v>
      </c>
      <c r="L43" s="27">
        <v>3</v>
      </c>
      <c r="M43" s="27">
        <v>6.61</v>
      </c>
      <c r="N43" s="1" t="s">
        <v>590</v>
      </c>
      <c r="O43" s="27">
        <v>12930.13</v>
      </c>
    </row>
    <row r="44" spans="1:15">
      <c r="A44" s="27" t="s">
        <v>171</v>
      </c>
      <c r="B44" s="27">
        <v>23</v>
      </c>
      <c r="C44" s="27" t="s">
        <v>541</v>
      </c>
      <c r="D44" s="27" t="s">
        <v>550</v>
      </c>
      <c r="E44" s="27">
        <v>2024</v>
      </c>
      <c r="F44" s="28">
        <v>5</v>
      </c>
      <c r="G44" s="27">
        <v>4.9000000000000004</v>
      </c>
      <c r="H44" s="28">
        <v>1.7</v>
      </c>
      <c r="I44" s="28">
        <v>6.9</v>
      </c>
      <c r="J44" s="28">
        <v>2.7</v>
      </c>
      <c r="K44" s="27" t="s">
        <v>570</v>
      </c>
      <c r="L44" s="27">
        <v>5</v>
      </c>
      <c r="M44" s="27">
        <v>4.55</v>
      </c>
      <c r="N44" s="1" t="s">
        <v>592</v>
      </c>
      <c r="O44" s="27">
        <v>78527.83</v>
      </c>
    </row>
    <row r="45" spans="1:15">
      <c r="A45" s="27" t="s">
        <v>384</v>
      </c>
      <c r="B45" s="27">
        <v>24</v>
      </c>
      <c r="C45" s="27" t="s">
        <v>543</v>
      </c>
      <c r="D45" s="27" t="s">
        <v>555</v>
      </c>
      <c r="E45" s="27">
        <v>2022</v>
      </c>
      <c r="F45" s="28">
        <v>5.4</v>
      </c>
      <c r="G45" s="27">
        <v>8.4</v>
      </c>
      <c r="H45" s="28">
        <v>8.4</v>
      </c>
      <c r="I45" s="28">
        <v>7.2</v>
      </c>
      <c r="J45" s="28">
        <v>7.7</v>
      </c>
      <c r="K45" s="27" t="s">
        <v>579</v>
      </c>
      <c r="L45" s="27">
        <v>3</v>
      </c>
      <c r="M45" s="27">
        <v>7.28</v>
      </c>
      <c r="N45" s="1" t="s">
        <v>590</v>
      </c>
      <c r="O45" s="27">
        <v>26542.86</v>
      </c>
    </row>
    <row r="46" spans="1:15">
      <c r="A46" s="27" t="s">
        <v>275</v>
      </c>
      <c r="B46" s="27">
        <v>29</v>
      </c>
      <c r="C46" s="27" t="s">
        <v>542</v>
      </c>
      <c r="D46" s="27" t="s">
        <v>550</v>
      </c>
      <c r="E46" s="27">
        <v>2022</v>
      </c>
      <c r="F46" s="28">
        <v>0.6</v>
      </c>
      <c r="G46" s="27">
        <v>6.1</v>
      </c>
      <c r="H46" s="28">
        <v>4.7</v>
      </c>
      <c r="I46" s="28">
        <v>7.9</v>
      </c>
      <c r="J46" s="28">
        <v>8.1999999999999993</v>
      </c>
      <c r="K46" s="27" t="s">
        <v>579</v>
      </c>
      <c r="L46" s="27">
        <v>5</v>
      </c>
      <c r="M46" s="27">
        <v>4.21</v>
      </c>
      <c r="N46" s="1" t="s">
        <v>592</v>
      </c>
      <c r="O46" s="27">
        <v>96688.1</v>
      </c>
    </row>
    <row r="47" spans="1:15">
      <c r="A47" s="27" t="s">
        <v>295</v>
      </c>
      <c r="B47" s="27">
        <v>25</v>
      </c>
      <c r="C47" s="27" t="s">
        <v>542</v>
      </c>
      <c r="D47" s="27" t="s">
        <v>551</v>
      </c>
      <c r="E47" s="27">
        <v>2022</v>
      </c>
      <c r="F47" s="28">
        <v>4.864556962025314</v>
      </c>
      <c r="G47" s="27">
        <v>1.7</v>
      </c>
      <c r="H47" s="28">
        <v>2.2999999999999998</v>
      </c>
      <c r="I47" s="28">
        <v>3.2</v>
      </c>
      <c r="J47" s="28">
        <v>8.1</v>
      </c>
      <c r="K47" s="27" t="s">
        <v>572</v>
      </c>
      <c r="L47" s="27">
        <v>5</v>
      </c>
      <c r="M47" s="27">
        <v>4.1500000000000004</v>
      </c>
      <c r="N47" s="1" t="s">
        <v>592</v>
      </c>
      <c r="O47" s="27">
        <v>70112.320000000007</v>
      </c>
    </row>
    <row r="48" spans="1:15">
      <c r="A48" s="27" t="s">
        <v>51</v>
      </c>
      <c r="B48" s="27">
        <v>49</v>
      </c>
      <c r="C48" s="27" t="s">
        <v>542</v>
      </c>
      <c r="D48" s="27" t="s">
        <v>555</v>
      </c>
      <c r="E48" s="27">
        <v>2024</v>
      </c>
      <c r="F48" s="28">
        <v>9.6999999999999993</v>
      </c>
      <c r="G48" s="27">
        <v>2.1</v>
      </c>
      <c r="H48" s="28">
        <v>4.8055555555555562</v>
      </c>
      <c r="I48" s="28">
        <v>1.4</v>
      </c>
      <c r="J48" s="28">
        <v>3.8</v>
      </c>
      <c r="K48" s="27" t="s">
        <v>574</v>
      </c>
      <c r="L48" s="27">
        <v>8</v>
      </c>
      <c r="M48" s="27">
        <v>3.68</v>
      </c>
      <c r="N48" s="1" t="s">
        <v>594</v>
      </c>
      <c r="O48" s="27">
        <v>87021.56</v>
      </c>
    </row>
    <row r="49" spans="1:15">
      <c r="A49" s="27" t="s">
        <v>335</v>
      </c>
      <c r="B49" s="27">
        <v>22</v>
      </c>
      <c r="C49" s="27" t="s">
        <v>543</v>
      </c>
      <c r="D49" s="27" t="s">
        <v>550</v>
      </c>
      <c r="E49" s="27">
        <v>2022</v>
      </c>
      <c r="F49" s="28">
        <v>4.2</v>
      </c>
      <c r="G49" s="27">
        <v>6.9</v>
      </c>
      <c r="H49" s="28">
        <v>6.4</v>
      </c>
      <c r="I49" s="28">
        <v>6.2</v>
      </c>
      <c r="J49" s="28">
        <v>5.3</v>
      </c>
      <c r="K49" s="27" t="s">
        <v>576</v>
      </c>
      <c r="L49" s="27">
        <v>5</v>
      </c>
      <c r="M49" s="27">
        <v>5.34</v>
      </c>
      <c r="N49" s="1" t="s">
        <v>592</v>
      </c>
      <c r="O49" s="27">
        <v>63008.99</v>
      </c>
    </row>
    <row r="50" spans="1:15">
      <c r="A50" s="27" t="s">
        <v>125</v>
      </c>
      <c r="B50" s="27">
        <v>65</v>
      </c>
      <c r="C50" s="27" t="s">
        <v>541</v>
      </c>
      <c r="D50" s="27" t="s">
        <v>553</v>
      </c>
      <c r="E50" s="27">
        <v>2022</v>
      </c>
      <c r="F50" s="28">
        <v>8.5</v>
      </c>
      <c r="G50" s="27">
        <v>3.8</v>
      </c>
      <c r="H50" s="28">
        <v>4.7</v>
      </c>
      <c r="I50" s="28">
        <v>2.7</v>
      </c>
      <c r="J50" s="28">
        <v>3.3</v>
      </c>
      <c r="K50" s="27" t="s">
        <v>579</v>
      </c>
      <c r="L50" s="27">
        <v>6</v>
      </c>
      <c r="M50" s="27">
        <v>4.7300000000000004</v>
      </c>
      <c r="N50" s="1" t="s">
        <v>592</v>
      </c>
      <c r="O50" s="27">
        <v>55925.25</v>
      </c>
    </row>
    <row r="51" spans="1:15">
      <c r="A51" s="27" t="s">
        <v>93</v>
      </c>
      <c r="B51" s="27">
        <v>40</v>
      </c>
      <c r="C51" s="27" t="s">
        <v>546</v>
      </c>
      <c r="D51" s="27" t="s">
        <v>550</v>
      </c>
      <c r="E51" s="27">
        <v>2024</v>
      </c>
      <c r="F51" s="28">
        <v>4</v>
      </c>
      <c r="G51" s="27">
        <v>8.4</v>
      </c>
      <c r="H51" s="28">
        <v>4.2</v>
      </c>
      <c r="I51" s="28">
        <v>8.6</v>
      </c>
      <c r="J51" s="28">
        <v>2.1</v>
      </c>
      <c r="K51" s="27" t="s">
        <v>570</v>
      </c>
      <c r="L51" s="27">
        <v>5</v>
      </c>
      <c r="M51" s="27">
        <v>4.83</v>
      </c>
      <c r="N51" s="1" t="s">
        <v>592</v>
      </c>
      <c r="O51" s="27">
        <v>89295.07</v>
      </c>
    </row>
    <row r="52" spans="1:15">
      <c r="A52" s="27" t="s">
        <v>322</v>
      </c>
      <c r="B52" s="27">
        <v>73</v>
      </c>
      <c r="C52" s="27" t="s">
        <v>546</v>
      </c>
      <c r="D52" s="27" t="s">
        <v>550</v>
      </c>
      <c r="E52" s="27">
        <v>2023</v>
      </c>
      <c r="F52" s="28">
        <v>0.1</v>
      </c>
      <c r="G52" s="27">
        <v>3.6</v>
      </c>
      <c r="H52" s="28">
        <v>6.9</v>
      </c>
      <c r="I52" s="28">
        <v>0.3</v>
      </c>
      <c r="J52" s="28">
        <v>6.5</v>
      </c>
      <c r="K52" s="27" t="s">
        <v>546</v>
      </c>
      <c r="L52" s="27">
        <v>8</v>
      </c>
      <c r="M52" s="27">
        <v>3.26</v>
      </c>
      <c r="N52" s="1" t="s">
        <v>594</v>
      </c>
      <c r="O52" s="27">
        <v>47569.3</v>
      </c>
    </row>
    <row r="53" spans="1:15">
      <c r="A53" s="27" t="s">
        <v>12</v>
      </c>
      <c r="B53" s="27">
        <v>69</v>
      </c>
      <c r="C53" s="27" t="s">
        <v>546</v>
      </c>
      <c r="D53" s="27" t="s">
        <v>555</v>
      </c>
      <c r="E53" s="27">
        <v>2023</v>
      </c>
      <c r="F53" s="28">
        <v>5.8</v>
      </c>
      <c r="G53" s="27">
        <v>6.1</v>
      </c>
      <c r="H53" s="28">
        <v>4.7187499999999982</v>
      </c>
      <c r="I53" s="28">
        <v>5</v>
      </c>
      <c r="J53" s="28">
        <v>4.1474683544303783</v>
      </c>
      <c r="K53" s="27" t="s">
        <v>572</v>
      </c>
      <c r="L53" s="27">
        <v>1</v>
      </c>
      <c r="M53" s="27">
        <v>27.18</v>
      </c>
      <c r="N53" s="1" t="s">
        <v>591</v>
      </c>
      <c r="O53" s="27">
        <v>81317.070000000007</v>
      </c>
    </row>
    <row r="54" spans="1:15">
      <c r="A54" s="27" t="s">
        <v>82</v>
      </c>
      <c r="B54" s="27">
        <v>58</v>
      </c>
      <c r="C54" s="27" t="s">
        <v>541</v>
      </c>
      <c r="D54" s="27" t="s">
        <v>645</v>
      </c>
      <c r="E54" s="27">
        <v>2023</v>
      </c>
      <c r="F54" s="28">
        <v>1.6</v>
      </c>
      <c r="G54" s="27">
        <v>3.3</v>
      </c>
      <c r="H54" s="28">
        <v>8.8000000000000007</v>
      </c>
      <c r="I54" s="28">
        <v>1.6</v>
      </c>
      <c r="J54" s="28">
        <v>9.1999999999999993</v>
      </c>
      <c r="K54" s="27" t="s">
        <v>579</v>
      </c>
      <c r="L54" s="27">
        <v>6</v>
      </c>
      <c r="M54" s="27">
        <v>4.96</v>
      </c>
      <c r="N54" s="1" t="s">
        <v>592</v>
      </c>
      <c r="O54" s="27">
        <v>20810.36</v>
      </c>
    </row>
    <row r="55" spans="1:15">
      <c r="A55" s="27" t="s">
        <v>532</v>
      </c>
      <c r="B55" s="27">
        <v>22</v>
      </c>
      <c r="C55" s="27" t="s">
        <v>543</v>
      </c>
      <c r="D55" s="27" t="s">
        <v>555</v>
      </c>
      <c r="E55" s="27">
        <v>2023</v>
      </c>
      <c r="F55" s="28">
        <v>9.3000000000000007</v>
      </c>
      <c r="G55" s="27">
        <v>8.8000000000000007</v>
      </c>
      <c r="H55" s="28">
        <v>0.5</v>
      </c>
      <c r="I55" s="28">
        <v>7.5</v>
      </c>
      <c r="J55" s="28">
        <v>8.1</v>
      </c>
      <c r="K55" s="27" t="s">
        <v>578</v>
      </c>
      <c r="L55" s="27">
        <v>4</v>
      </c>
      <c r="M55" s="27">
        <v>6.44</v>
      </c>
      <c r="N55" s="1" t="s">
        <v>590</v>
      </c>
      <c r="O55" s="27">
        <v>56425.05</v>
      </c>
    </row>
    <row r="56" spans="1:15">
      <c r="A56" s="27" t="s">
        <v>314</v>
      </c>
      <c r="B56" s="27">
        <v>58</v>
      </c>
      <c r="C56" s="27" t="s">
        <v>541</v>
      </c>
      <c r="D56" s="27" t="s">
        <v>556</v>
      </c>
      <c r="E56" s="27">
        <v>2023</v>
      </c>
      <c r="F56" s="28">
        <v>8.6999999999999993</v>
      </c>
      <c r="G56" s="27">
        <v>0.1</v>
      </c>
      <c r="H56" s="28">
        <v>5.3</v>
      </c>
      <c r="I56" s="28">
        <v>4.4000000000000004</v>
      </c>
      <c r="J56" s="28">
        <v>1.9</v>
      </c>
      <c r="K56" s="27" t="s">
        <v>574</v>
      </c>
      <c r="L56" s="27">
        <v>6</v>
      </c>
      <c r="M56" s="27">
        <v>4.43</v>
      </c>
      <c r="N56" s="1" t="s">
        <v>592</v>
      </c>
      <c r="O56" s="27">
        <v>59322.8</v>
      </c>
    </row>
    <row r="57" spans="1:15">
      <c r="A57" s="27" t="s">
        <v>122</v>
      </c>
      <c r="B57" s="27">
        <v>81</v>
      </c>
      <c r="C57" s="27" t="s">
        <v>543</v>
      </c>
      <c r="D57" s="27" t="s">
        <v>550</v>
      </c>
      <c r="E57" s="27">
        <v>2023</v>
      </c>
      <c r="F57" s="28">
        <v>6.3</v>
      </c>
      <c r="G57" s="27">
        <v>2.1</v>
      </c>
      <c r="H57" s="28">
        <v>4.8</v>
      </c>
      <c r="I57" s="28">
        <v>4.9000000000000004</v>
      </c>
      <c r="J57" s="28">
        <v>1.5</v>
      </c>
      <c r="K57" s="27" t="s">
        <v>572</v>
      </c>
      <c r="L57" s="27">
        <v>5</v>
      </c>
      <c r="M57" s="27">
        <v>5.23</v>
      </c>
      <c r="N57" s="1" t="s">
        <v>592</v>
      </c>
      <c r="O57" s="27">
        <v>9997.67</v>
      </c>
    </row>
    <row r="58" spans="1:15">
      <c r="A58" s="27" t="s">
        <v>311</v>
      </c>
      <c r="B58" s="27">
        <v>57</v>
      </c>
      <c r="C58" s="27" t="s">
        <v>546</v>
      </c>
      <c r="D58" s="27" t="s">
        <v>551</v>
      </c>
      <c r="E58" s="27">
        <v>2022</v>
      </c>
      <c r="F58" s="28">
        <v>0.4</v>
      </c>
      <c r="G58" s="27">
        <v>0.3</v>
      </c>
      <c r="H58" s="28">
        <v>5.3</v>
      </c>
      <c r="I58" s="28">
        <v>7.1</v>
      </c>
      <c r="J58" s="28">
        <v>1.9</v>
      </c>
      <c r="K58" s="27" t="s">
        <v>570</v>
      </c>
      <c r="L58" s="27">
        <v>7</v>
      </c>
      <c r="M58" s="27">
        <v>2.8</v>
      </c>
      <c r="N58" s="1" t="s">
        <v>594</v>
      </c>
      <c r="O58" s="27">
        <v>86571.26</v>
      </c>
    </row>
    <row r="59" spans="1:15">
      <c r="A59" s="27" t="s">
        <v>487</v>
      </c>
      <c r="B59" s="27">
        <v>54</v>
      </c>
      <c r="C59" s="27" t="s">
        <v>543</v>
      </c>
      <c r="D59" s="27" t="s">
        <v>645</v>
      </c>
      <c r="E59" s="27">
        <v>2024</v>
      </c>
      <c r="F59" s="28">
        <v>1.6</v>
      </c>
      <c r="G59" s="27">
        <v>8.3000000000000007</v>
      </c>
      <c r="H59" s="28">
        <v>4.5999999999999996</v>
      </c>
      <c r="I59" s="28">
        <v>1.1000000000000001</v>
      </c>
      <c r="J59" s="28">
        <v>3.6</v>
      </c>
      <c r="K59" s="27" t="s">
        <v>576</v>
      </c>
      <c r="L59" s="27">
        <v>7</v>
      </c>
      <c r="M59" s="27">
        <v>2.85</v>
      </c>
      <c r="N59" s="1" t="s">
        <v>594</v>
      </c>
      <c r="O59" s="27">
        <v>99116.71</v>
      </c>
    </row>
    <row r="60" spans="1:15">
      <c r="A60" s="27" t="s">
        <v>282</v>
      </c>
      <c r="B60" s="27">
        <v>63</v>
      </c>
      <c r="C60" s="27" t="s">
        <v>541</v>
      </c>
      <c r="D60" s="27" t="s">
        <v>555</v>
      </c>
      <c r="E60" s="27">
        <v>2024</v>
      </c>
      <c r="F60" s="28">
        <v>0.9</v>
      </c>
      <c r="G60" s="27">
        <v>2.1</v>
      </c>
      <c r="H60" s="28">
        <v>6.8</v>
      </c>
      <c r="I60" s="28">
        <v>7.4</v>
      </c>
      <c r="J60" s="28">
        <v>9.4</v>
      </c>
      <c r="K60" s="27" t="s">
        <v>579</v>
      </c>
      <c r="L60" s="27">
        <v>5</v>
      </c>
      <c r="M60" s="27">
        <v>4.08</v>
      </c>
      <c r="N60" s="1" t="s">
        <v>592</v>
      </c>
      <c r="O60" s="27">
        <v>92584.86</v>
      </c>
    </row>
    <row r="61" spans="1:15">
      <c r="A61" s="27" t="s">
        <v>485</v>
      </c>
      <c r="B61" s="27">
        <v>57</v>
      </c>
      <c r="C61" s="27" t="s">
        <v>543</v>
      </c>
      <c r="D61" s="27" t="s">
        <v>556</v>
      </c>
      <c r="E61" s="27">
        <v>2023</v>
      </c>
      <c r="F61" s="28">
        <v>8.9</v>
      </c>
      <c r="G61" s="27">
        <v>9.6</v>
      </c>
      <c r="H61" s="28">
        <v>5.3</v>
      </c>
      <c r="I61" s="28">
        <v>0.4</v>
      </c>
      <c r="J61" s="28">
        <v>5.6</v>
      </c>
      <c r="K61" s="27" t="s">
        <v>573</v>
      </c>
      <c r="L61" s="27">
        <v>3</v>
      </c>
      <c r="M61" s="27">
        <v>6.21</v>
      </c>
      <c r="N61" s="1" t="s">
        <v>590</v>
      </c>
      <c r="O61" s="27">
        <v>22291.919999999998</v>
      </c>
    </row>
    <row r="62" spans="1:15">
      <c r="A62" s="27" t="s">
        <v>185</v>
      </c>
      <c r="B62" s="27">
        <v>85</v>
      </c>
      <c r="C62" s="27" t="s">
        <v>546</v>
      </c>
      <c r="D62" s="27" t="s">
        <v>645</v>
      </c>
      <c r="E62" s="27">
        <v>2023</v>
      </c>
      <c r="F62" s="28">
        <v>3.7</v>
      </c>
      <c r="G62" s="27">
        <v>9.4</v>
      </c>
      <c r="H62" s="28">
        <v>1.6</v>
      </c>
      <c r="I62" s="28">
        <v>8.1</v>
      </c>
      <c r="J62" s="28">
        <v>0.8</v>
      </c>
      <c r="K62" s="27" t="s">
        <v>546</v>
      </c>
      <c r="L62" s="27">
        <v>6</v>
      </c>
      <c r="M62" s="27">
        <v>4.7699999999999996</v>
      </c>
      <c r="N62" s="1" t="s">
        <v>592</v>
      </c>
      <c r="O62" s="27">
        <v>47569.3</v>
      </c>
    </row>
    <row r="63" spans="1:15">
      <c r="A63" s="27" t="s">
        <v>410</v>
      </c>
      <c r="B63" s="27">
        <v>38</v>
      </c>
      <c r="C63" s="27" t="s">
        <v>543</v>
      </c>
      <c r="D63" s="27" t="s">
        <v>552</v>
      </c>
      <c r="E63" s="27">
        <v>2024</v>
      </c>
      <c r="F63" s="28">
        <v>7.8</v>
      </c>
      <c r="G63" s="27">
        <v>9.4</v>
      </c>
      <c r="H63" s="28">
        <v>1.7</v>
      </c>
      <c r="I63" s="28">
        <v>0.9</v>
      </c>
      <c r="J63" s="28">
        <v>9.5</v>
      </c>
      <c r="K63" s="27" t="s">
        <v>578</v>
      </c>
      <c r="L63" s="27">
        <v>5</v>
      </c>
      <c r="M63" s="27">
        <v>4.7</v>
      </c>
      <c r="N63" s="1" t="s">
        <v>592</v>
      </c>
      <c r="O63" s="27">
        <v>82680.06</v>
      </c>
    </row>
    <row r="64" spans="1:15">
      <c r="A64" s="27" t="s">
        <v>71</v>
      </c>
      <c r="B64" s="27">
        <v>78</v>
      </c>
      <c r="C64" s="27" t="s">
        <v>546</v>
      </c>
      <c r="D64" s="27" t="s">
        <v>555</v>
      </c>
      <c r="E64" s="27">
        <v>2022</v>
      </c>
      <c r="F64" s="28">
        <v>2.9</v>
      </c>
      <c r="G64" s="27">
        <v>5.2</v>
      </c>
      <c r="H64" s="28">
        <v>2.9</v>
      </c>
      <c r="I64" s="28">
        <v>4</v>
      </c>
      <c r="J64" s="28">
        <v>1.8</v>
      </c>
      <c r="K64" s="27" t="s">
        <v>579</v>
      </c>
      <c r="L64" s="27">
        <v>8</v>
      </c>
      <c r="M64" s="27">
        <v>3.87</v>
      </c>
      <c r="N64" s="1" t="s">
        <v>594</v>
      </c>
      <c r="O64" s="27">
        <v>45484.05</v>
      </c>
    </row>
    <row r="65" spans="1:15">
      <c r="A65" s="27" t="s">
        <v>413</v>
      </c>
      <c r="B65" s="27">
        <v>63</v>
      </c>
      <c r="C65" s="27" t="s">
        <v>541</v>
      </c>
      <c r="D65" s="27" t="s">
        <v>551</v>
      </c>
      <c r="E65" s="27">
        <v>2022</v>
      </c>
      <c r="F65" s="28">
        <v>9.8000000000000007</v>
      </c>
      <c r="G65" s="27">
        <v>2</v>
      </c>
      <c r="H65" s="28">
        <v>1.4</v>
      </c>
      <c r="I65" s="28">
        <v>2.5</v>
      </c>
      <c r="J65" s="28">
        <v>0.5</v>
      </c>
      <c r="K65" s="27" t="s">
        <v>579</v>
      </c>
      <c r="L65" s="27">
        <v>6</v>
      </c>
      <c r="M65" s="27">
        <v>4.72</v>
      </c>
      <c r="N65" s="1" t="s">
        <v>592</v>
      </c>
      <c r="O65" s="27">
        <v>15087.76</v>
      </c>
    </row>
    <row r="66" spans="1:15">
      <c r="A66" s="27" t="s">
        <v>270</v>
      </c>
      <c r="B66" s="27">
        <v>72</v>
      </c>
      <c r="C66" s="27" t="s">
        <v>541</v>
      </c>
      <c r="D66" s="27" t="s">
        <v>672</v>
      </c>
      <c r="E66" s="27">
        <v>2024</v>
      </c>
      <c r="F66" s="28">
        <v>0.1</v>
      </c>
      <c r="G66" s="27">
        <v>4.5999999999999996</v>
      </c>
      <c r="H66" s="28">
        <v>9.8000000000000007</v>
      </c>
      <c r="I66" s="28">
        <v>4.3</v>
      </c>
      <c r="J66" s="28">
        <v>4.2192857142857143</v>
      </c>
      <c r="K66" s="27" t="s">
        <v>546</v>
      </c>
      <c r="L66" s="27">
        <v>1</v>
      </c>
      <c r="M66" s="27">
        <v>24.6</v>
      </c>
      <c r="N66" s="1" t="s">
        <v>591</v>
      </c>
      <c r="O66" s="27">
        <v>47569.3</v>
      </c>
    </row>
    <row r="67" spans="1:15">
      <c r="A67" s="27" t="s">
        <v>325</v>
      </c>
      <c r="B67" s="27">
        <v>20</v>
      </c>
      <c r="C67" s="27" t="s">
        <v>543</v>
      </c>
      <c r="D67" s="27" t="s">
        <v>549</v>
      </c>
      <c r="E67" s="27">
        <v>2024</v>
      </c>
      <c r="F67" s="28">
        <v>4.9000000000000004</v>
      </c>
      <c r="G67" s="27">
        <v>3.7</v>
      </c>
      <c r="H67" s="28">
        <v>9.8000000000000007</v>
      </c>
      <c r="I67" s="28">
        <v>2.8</v>
      </c>
      <c r="J67" s="28">
        <v>1.9</v>
      </c>
      <c r="K67" s="27" t="s">
        <v>573</v>
      </c>
      <c r="L67" s="27">
        <v>5</v>
      </c>
      <c r="M67" s="27">
        <v>4.24</v>
      </c>
      <c r="N67" s="1" t="s">
        <v>592</v>
      </c>
      <c r="O67" s="27">
        <v>75949.91</v>
      </c>
    </row>
    <row r="68" spans="1:15">
      <c r="A68" s="27" t="s">
        <v>460</v>
      </c>
      <c r="B68" s="27">
        <v>82</v>
      </c>
      <c r="C68" s="27" t="s">
        <v>541</v>
      </c>
      <c r="D68" s="27" t="s">
        <v>551</v>
      </c>
      <c r="E68" s="27">
        <v>2022</v>
      </c>
      <c r="F68" s="28">
        <v>6.6</v>
      </c>
      <c r="G68" s="27">
        <v>6</v>
      </c>
      <c r="H68" s="28">
        <v>1.4</v>
      </c>
      <c r="I68" s="28">
        <v>4.0999999999999996</v>
      </c>
      <c r="J68" s="28">
        <v>4.9000000000000004</v>
      </c>
      <c r="K68" s="27" t="s">
        <v>576</v>
      </c>
      <c r="L68" s="27">
        <v>1</v>
      </c>
      <c r="M68" s="27">
        <v>23.07</v>
      </c>
      <c r="N68" s="1" t="s">
        <v>591</v>
      </c>
      <c r="O68" s="27">
        <v>48651.01</v>
      </c>
    </row>
    <row r="69" spans="1:15">
      <c r="A69" s="27" t="s">
        <v>435</v>
      </c>
      <c r="B69" s="27">
        <v>86</v>
      </c>
      <c r="C69" s="27" t="s">
        <v>542</v>
      </c>
      <c r="D69" s="27" t="s">
        <v>549</v>
      </c>
      <c r="E69" s="27">
        <v>2023</v>
      </c>
      <c r="F69" s="28">
        <v>8.3000000000000007</v>
      </c>
      <c r="G69" s="27">
        <v>6.3</v>
      </c>
      <c r="H69" s="28">
        <v>8.5</v>
      </c>
      <c r="I69" s="28">
        <v>2.6</v>
      </c>
      <c r="J69" s="28">
        <v>99</v>
      </c>
      <c r="K69" s="27" t="s">
        <v>570</v>
      </c>
      <c r="L69" s="27">
        <v>6</v>
      </c>
      <c r="M69" s="27">
        <v>5.64</v>
      </c>
      <c r="N69" s="1" t="s">
        <v>592</v>
      </c>
      <c r="O69" s="27">
        <v>47573.39</v>
      </c>
    </row>
    <row r="70" spans="1:15">
      <c r="A70" s="27" t="s">
        <v>336</v>
      </c>
      <c r="B70" s="27">
        <v>29</v>
      </c>
      <c r="C70" s="27" t="s">
        <v>543</v>
      </c>
      <c r="D70" s="27" t="s">
        <v>550</v>
      </c>
      <c r="E70" s="27">
        <v>2023</v>
      </c>
      <c r="F70" s="28">
        <v>4</v>
      </c>
      <c r="G70" s="27">
        <v>0.6</v>
      </c>
      <c r="H70" s="28">
        <v>8.8000000000000007</v>
      </c>
      <c r="I70" s="28">
        <v>7.1</v>
      </c>
      <c r="J70" s="28">
        <v>0.8</v>
      </c>
      <c r="K70" s="27" t="s">
        <v>570</v>
      </c>
      <c r="L70" s="27">
        <v>5</v>
      </c>
      <c r="M70" s="27">
        <v>5.18</v>
      </c>
      <c r="N70" s="1" t="s">
        <v>592</v>
      </c>
      <c r="O70" s="27">
        <v>26393.439999999999</v>
      </c>
    </row>
    <row r="71" spans="1:15">
      <c r="A71" s="27" t="s">
        <v>178</v>
      </c>
      <c r="B71" s="27">
        <v>64</v>
      </c>
      <c r="C71" s="27" t="s">
        <v>542</v>
      </c>
      <c r="D71" s="27" t="s">
        <v>672</v>
      </c>
      <c r="E71" s="27">
        <v>2023</v>
      </c>
      <c r="F71" s="28">
        <v>2.2000000000000002</v>
      </c>
      <c r="G71" s="27">
        <v>0.5</v>
      </c>
      <c r="H71" s="28">
        <v>0.4</v>
      </c>
      <c r="I71" s="28">
        <v>7.7</v>
      </c>
      <c r="J71" s="28">
        <v>1.7</v>
      </c>
      <c r="K71" s="27" t="s">
        <v>570</v>
      </c>
      <c r="L71" s="27">
        <v>6</v>
      </c>
      <c r="M71" s="27">
        <v>4.01</v>
      </c>
      <c r="N71" s="1" t="s">
        <v>592</v>
      </c>
      <c r="O71" s="27">
        <v>13901.15</v>
      </c>
    </row>
    <row r="72" spans="1:15">
      <c r="A72" s="27" t="s">
        <v>134</v>
      </c>
      <c r="B72" s="27">
        <v>29</v>
      </c>
      <c r="C72" s="27" t="s">
        <v>542</v>
      </c>
      <c r="D72" s="27" t="s">
        <v>553</v>
      </c>
      <c r="E72" s="27">
        <v>2022</v>
      </c>
      <c r="F72" s="28">
        <v>1.5</v>
      </c>
      <c r="G72" s="27">
        <v>1.8</v>
      </c>
      <c r="H72" s="28">
        <v>2.4</v>
      </c>
      <c r="I72" s="28">
        <v>0.3</v>
      </c>
      <c r="J72" s="28">
        <v>8</v>
      </c>
      <c r="K72" s="27" t="s">
        <v>574</v>
      </c>
      <c r="L72" s="27">
        <v>7</v>
      </c>
      <c r="M72" s="27">
        <v>2.0699999999999998</v>
      </c>
      <c r="N72" s="1" t="s">
        <v>594</v>
      </c>
      <c r="O72" s="27">
        <v>58769.82</v>
      </c>
    </row>
    <row r="73" spans="1:15">
      <c r="A73" s="27" t="s">
        <v>229</v>
      </c>
      <c r="B73" s="27">
        <v>66</v>
      </c>
      <c r="C73" s="27" t="s">
        <v>543</v>
      </c>
      <c r="D73" s="27" t="s">
        <v>645</v>
      </c>
      <c r="E73" s="27">
        <v>2022</v>
      </c>
      <c r="F73" s="28">
        <v>1.5</v>
      </c>
      <c r="G73" s="27">
        <v>1.7</v>
      </c>
      <c r="H73" s="28">
        <v>6.1</v>
      </c>
      <c r="I73" s="28">
        <v>6.3</v>
      </c>
      <c r="J73" s="28">
        <v>1.2</v>
      </c>
      <c r="K73" s="27" t="s">
        <v>572</v>
      </c>
      <c r="L73" s="27">
        <v>5</v>
      </c>
      <c r="M73" s="27">
        <v>4.68</v>
      </c>
      <c r="N73" s="1" t="s">
        <v>592</v>
      </c>
      <c r="O73" s="27">
        <v>8263.86</v>
      </c>
    </row>
    <row r="74" spans="1:15">
      <c r="A74" s="27" t="s">
        <v>98</v>
      </c>
      <c r="B74" s="27">
        <v>66</v>
      </c>
      <c r="C74" s="27" t="s">
        <v>543</v>
      </c>
      <c r="D74" s="27" t="s">
        <v>549</v>
      </c>
      <c r="E74" s="27">
        <v>2024</v>
      </c>
      <c r="F74" s="28">
        <v>4.0999999999999996</v>
      </c>
      <c r="G74" s="27">
        <v>8.6999999999999993</v>
      </c>
      <c r="H74" s="28">
        <v>4.3</v>
      </c>
      <c r="I74" s="28">
        <v>1.4</v>
      </c>
      <c r="J74" s="28">
        <v>7.2</v>
      </c>
      <c r="K74" s="27" t="s">
        <v>572</v>
      </c>
      <c r="L74" s="27">
        <v>8</v>
      </c>
      <c r="M74" s="27">
        <v>3.78</v>
      </c>
      <c r="N74" s="1" t="s">
        <v>594</v>
      </c>
      <c r="O74" s="27">
        <v>99709.77</v>
      </c>
    </row>
    <row r="75" spans="1:15">
      <c r="A75" s="27" t="s">
        <v>253</v>
      </c>
      <c r="B75" s="27">
        <v>30</v>
      </c>
      <c r="C75" s="27" t="s">
        <v>541</v>
      </c>
      <c r="D75" s="27" t="s">
        <v>549</v>
      </c>
      <c r="E75" s="27">
        <v>2023</v>
      </c>
      <c r="F75" s="28">
        <v>3.6</v>
      </c>
      <c r="G75" s="27">
        <v>7.9</v>
      </c>
      <c r="H75" s="28">
        <v>7.2</v>
      </c>
      <c r="I75" s="28">
        <v>4.7</v>
      </c>
      <c r="J75" s="28">
        <v>7.5</v>
      </c>
      <c r="K75" s="27" t="s">
        <v>574</v>
      </c>
      <c r="L75" s="27">
        <v>5</v>
      </c>
      <c r="M75" s="27">
        <v>5.24</v>
      </c>
      <c r="N75" s="1" t="s">
        <v>592</v>
      </c>
      <c r="O75" s="27">
        <v>71512.58</v>
      </c>
    </row>
    <row r="76" spans="1:15">
      <c r="A76" s="27" t="s">
        <v>33</v>
      </c>
      <c r="B76" s="27">
        <v>88</v>
      </c>
      <c r="C76" s="27" t="s">
        <v>542</v>
      </c>
      <c r="D76" s="27" t="s">
        <v>551</v>
      </c>
      <c r="E76" s="27">
        <v>2024</v>
      </c>
      <c r="F76" s="28">
        <v>6.3</v>
      </c>
      <c r="G76" s="27">
        <v>5.7</v>
      </c>
      <c r="H76" s="28">
        <v>5.9</v>
      </c>
      <c r="I76" s="28">
        <v>5.5</v>
      </c>
      <c r="J76" s="28">
        <v>8.8000000000000007</v>
      </c>
      <c r="K76" s="27" t="s">
        <v>579</v>
      </c>
      <c r="L76" s="27">
        <v>4</v>
      </c>
      <c r="M76" s="27">
        <v>6.73</v>
      </c>
      <c r="N76" s="1" t="s">
        <v>590</v>
      </c>
      <c r="O76" s="27">
        <v>12383.08</v>
      </c>
    </row>
    <row r="77" spans="1:15">
      <c r="A77" s="27" t="s">
        <v>28</v>
      </c>
      <c r="B77" s="27">
        <v>71</v>
      </c>
      <c r="C77" s="27" t="s">
        <v>541</v>
      </c>
      <c r="D77" s="27" t="s">
        <v>551</v>
      </c>
      <c r="E77" s="27">
        <v>2023</v>
      </c>
      <c r="F77" s="28">
        <v>7.5</v>
      </c>
      <c r="G77" s="27">
        <v>2</v>
      </c>
      <c r="H77" s="28">
        <v>2.7</v>
      </c>
      <c r="I77" s="28">
        <v>2</v>
      </c>
      <c r="J77" s="28">
        <v>8.4</v>
      </c>
      <c r="K77" s="27" t="s">
        <v>570</v>
      </c>
      <c r="L77" s="27">
        <v>7</v>
      </c>
      <c r="M77" s="27">
        <v>3.79</v>
      </c>
      <c r="N77" s="1" t="s">
        <v>594</v>
      </c>
      <c r="O77" s="27">
        <v>50256.44</v>
      </c>
    </row>
    <row r="78" spans="1:15">
      <c r="A78" s="27" t="s">
        <v>26</v>
      </c>
      <c r="B78" s="27">
        <v>28</v>
      </c>
      <c r="C78" s="27" t="s">
        <v>543</v>
      </c>
      <c r="D78" s="27" t="s">
        <v>552</v>
      </c>
      <c r="E78" s="27">
        <v>2023</v>
      </c>
      <c r="F78" s="28">
        <v>3.6</v>
      </c>
      <c r="G78" s="27">
        <v>5.6</v>
      </c>
      <c r="H78" s="28">
        <v>5.8</v>
      </c>
      <c r="I78" s="28">
        <v>6.1</v>
      </c>
      <c r="J78" s="28">
        <v>8.9</v>
      </c>
      <c r="K78" s="27" t="s">
        <v>576</v>
      </c>
      <c r="L78" s="27">
        <v>6</v>
      </c>
      <c r="M78" s="27">
        <v>5.28</v>
      </c>
      <c r="N78" s="1" t="s">
        <v>592</v>
      </c>
      <c r="O78" s="27">
        <v>63100.02</v>
      </c>
    </row>
    <row r="79" spans="1:15">
      <c r="A79" s="27" t="s">
        <v>482</v>
      </c>
      <c r="B79" s="27">
        <v>51</v>
      </c>
      <c r="C79" s="27" t="s">
        <v>542</v>
      </c>
      <c r="D79" s="27" t="s">
        <v>553</v>
      </c>
      <c r="E79" s="27">
        <v>2023</v>
      </c>
      <c r="F79" s="28">
        <v>4.8</v>
      </c>
      <c r="G79" s="27">
        <v>7.3</v>
      </c>
      <c r="H79" s="28">
        <v>5</v>
      </c>
      <c r="I79" s="28">
        <v>1.8</v>
      </c>
      <c r="J79" s="28">
        <v>7.4</v>
      </c>
      <c r="K79" s="27" t="s">
        <v>578</v>
      </c>
      <c r="L79" s="27">
        <v>5</v>
      </c>
      <c r="M79" s="27">
        <v>5.36</v>
      </c>
      <c r="N79" s="1" t="s">
        <v>592</v>
      </c>
      <c r="O79" s="27">
        <v>27043.91</v>
      </c>
    </row>
    <row r="80" spans="1:15">
      <c r="A80" s="27" t="s">
        <v>52</v>
      </c>
      <c r="B80" s="27">
        <v>41</v>
      </c>
      <c r="C80" s="27" t="s">
        <v>541</v>
      </c>
      <c r="D80" s="27" t="s">
        <v>556</v>
      </c>
      <c r="E80" s="27">
        <v>2023</v>
      </c>
      <c r="F80" s="28">
        <v>5.3</v>
      </c>
      <c r="G80" s="27">
        <v>0.5</v>
      </c>
      <c r="H80" s="28">
        <v>3.5</v>
      </c>
      <c r="I80" s="28">
        <v>0</v>
      </c>
      <c r="J80" s="28">
        <v>1.2</v>
      </c>
      <c r="K80" s="27" t="s">
        <v>546</v>
      </c>
      <c r="L80" s="27">
        <v>8</v>
      </c>
      <c r="M80" s="27">
        <v>3.45</v>
      </c>
      <c r="N80" s="1" t="s">
        <v>594</v>
      </c>
      <c r="O80" s="27">
        <v>16485.2</v>
      </c>
    </row>
    <row r="81" spans="1:15">
      <c r="A81" s="27" t="s">
        <v>491</v>
      </c>
      <c r="B81" s="27">
        <v>75</v>
      </c>
      <c r="C81" s="27" t="s">
        <v>543</v>
      </c>
      <c r="D81" s="27" t="s">
        <v>554</v>
      </c>
      <c r="E81" s="27">
        <v>2024</v>
      </c>
      <c r="F81" s="28">
        <v>2.1</v>
      </c>
      <c r="G81" s="27">
        <v>0.6</v>
      </c>
      <c r="H81" s="28">
        <v>2.6</v>
      </c>
      <c r="I81" s="28">
        <v>5.8</v>
      </c>
      <c r="J81" s="28">
        <v>8.1</v>
      </c>
      <c r="K81" s="27" t="s">
        <v>570</v>
      </c>
      <c r="L81" s="27">
        <v>8</v>
      </c>
      <c r="M81" s="27">
        <v>3.98</v>
      </c>
      <c r="N81" s="1" t="s">
        <v>594</v>
      </c>
      <c r="O81" s="27">
        <v>44650.57</v>
      </c>
    </row>
    <row r="82" spans="1:15">
      <c r="A82" s="27" t="s">
        <v>37</v>
      </c>
      <c r="B82" s="27">
        <v>82</v>
      </c>
      <c r="C82" s="27" t="s">
        <v>541</v>
      </c>
      <c r="D82" s="27" t="s">
        <v>672</v>
      </c>
      <c r="E82" s="27">
        <v>2022</v>
      </c>
      <c r="F82" s="28">
        <v>5.5143712574850285</v>
      </c>
      <c r="G82" s="27">
        <v>0</v>
      </c>
      <c r="H82" s="28">
        <v>7</v>
      </c>
      <c r="I82" s="28">
        <v>5.3</v>
      </c>
      <c r="J82" s="28">
        <v>4.8</v>
      </c>
      <c r="K82" s="27" t="s">
        <v>574</v>
      </c>
      <c r="L82" s="27">
        <v>6</v>
      </c>
      <c r="M82" s="27">
        <v>5.32</v>
      </c>
      <c r="N82" s="1" t="s">
        <v>592</v>
      </c>
      <c r="O82" s="27">
        <v>43644.15</v>
      </c>
    </row>
    <row r="83" spans="1:15">
      <c r="A83" s="27" t="s">
        <v>73</v>
      </c>
      <c r="B83" s="27">
        <v>58</v>
      </c>
      <c r="C83" s="27" t="s">
        <v>541</v>
      </c>
      <c r="D83" s="27" t="s">
        <v>553</v>
      </c>
      <c r="E83" s="27">
        <v>2023</v>
      </c>
      <c r="F83" s="28">
        <v>2.9</v>
      </c>
      <c r="G83" s="27">
        <v>7.5</v>
      </c>
      <c r="H83" s="28">
        <v>5.7</v>
      </c>
      <c r="I83" s="28">
        <v>4.2</v>
      </c>
      <c r="J83" s="28">
        <v>1.8</v>
      </c>
      <c r="K83" s="27" t="s">
        <v>578</v>
      </c>
      <c r="L83" s="27">
        <v>5</v>
      </c>
      <c r="M83" s="27">
        <v>5.22</v>
      </c>
      <c r="N83" s="1" t="s">
        <v>592</v>
      </c>
      <c r="O83" s="27">
        <v>18138.22</v>
      </c>
    </row>
    <row r="84" spans="1:15">
      <c r="A84" s="27" t="s">
        <v>403</v>
      </c>
      <c r="B84" s="27">
        <v>77</v>
      </c>
      <c r="C84" s="27" t="s">
        <v>542</v>
      </c>
      <c r="D84" s="27" t="s">
        <v>551</v>
      </c>
      <c r="E84" s="27">
        <v>2024</v>
      </c>
      <c r="F84" s="28">
        <v>6.2</v>
      </c>
      <c r="G84" s="27">
        <v>7.5</v>
      </c>
      <c r="H84" s="28">
        <v>8.3000000000000007</v>
      </c>
      <c r="I84" s="28">
        <v>1.2</v>
      </c>
      <c r="J84" s="28">
        <v>9.8000000000000007</v>
      </c>
      <c r="K84" s="27" t="s">
        <v>578</v>
      </c>
      <c r="L84" s="27">
        <v>6</v>
      </c>
      <c r="M84" s="27">
        <v>5.27</v>
      </c>
      <c r="N84" s="1" t="s">
        <v>592</v>
      </c>
      <c r="O84" s="27">
        <v>78238.86</v>
      </c>
    </row>
    <row r="85" spans="1:15">
      <c r="A85" s="27" t="s">
        <v>462</v>
      </c>
      <c r="B85" s="27">
        <v>33</v>
      </c>
      <c r="C85" s="27" t="s">
        <v>541</v>
      </c>
      <c r="D85" s="27" t="s">
        <v>556</v>
      </c>
      <c r="E85" s="27">
        <v>2022</v>
      </c>
      <c r="F85" s="28">
        <v>3.6</v>
      </c>
      <c r="G85" s="27">
        <v>5</v>
      </c>
      <c r="H85" s="28">
        <v>9.3000000000000007</v>
      </c>
      <c r="I85" s="28">
        <v>6.7</v>
      </c>
      <c r="J85" s="28">
        <v>3.2</v>
      </c>
      <c r="K85" s="27" t="s">
        <v>574</v>
      </c>
      <c r="L85" s="27">
        <v>4</v>
      </c>
      <c r="M85" s="27">
        <v>6.2</v>
      </c>
      <c r="N85" s="1" t="s">
        <v>590</v>
      </c>
      <c r="O85" s="27">
        <v>58818.45</v>
      </c>
    </row>
    <row r="86" spans="1:15">
      <c r="A86" s="27" t="s">
        <v>490</v>
      </c>
      <c r="B86" s="27">
        <v>28</v>
      </c>
      <c r="C86" s="27" t="s">
        <v>542</v>
      </c>
      <c r="D86" s="27" t="s">
        <v>554</v>
      </c>
      <c r="E86" s="27">
        <v>2024</v>
      </c>
      <c r="F86" s="28">
        <v>4.0999999999999996</v>
      </c>
      <c r="G86" s="27">
        <v>1</v>
      </c>
      <c r="H86" s="28">
        <v>9.6</v>
      </c>
      <c r="I86" s="28">
        <v>2.7</v>
      </c>
      <c r="J86" s="28">
        <v>0.1</v>
      </c>
      <c r="K86" s="27" t="s">
        <v>578</v>
      </c>
      <c r="L86" s="27">
        <v>8</v>
      </c>
      <c r="M86" s="27">
        <v>3.2</v>
      </c>
      <c r="N86" s="1" t="s">
        <v>594</v>
      </c>
      <c r="O86" s="27">
        <v>88218.13</v>
      </c>
    </row>
    <row r="87" spans="1:15">
      <c r="A87" s="27" t="s">
        <v>386</v>
      </c>
      <c r="B87" s="27">
        <v>64</v>
      </c>
      <c r="C87" s="27" t="s">
        <v>541</v>
      </c>
      <c r="D87" s="27" t="s">
        <v>552</v>
      </c>
      <c r="E87" s="27">
        <v>2024</v>
      </c>
      <c r="F87" s="28">
        <v>3.1</v>
      </c>
      <c r="G87" s="27">
        <v>3.5</v>
      </c>
      <c r="H87" s="28">
        <v>6.1</v>
      </c>
      <c r="I87" s="28">
        <v>4.5999999999999996</v>
      </c>
      <c r="J87" s="28">
        <v>8.3000000000000007</v>
      </c>
      <c r="K87" s="27" t="s">
        <v>571</v>
      </c>
      <c r="L87" s="27">
        <v>6</v>
      </c>
      <c r="M87" s="27">
        <v>5.37</v>
      </c>
      <c r="N87" s="1" t="s">
        <v>592</v>
      </c>
      <c r="O87" s="27">
        <v>21815.69</v>
      </c>
    </row>
    <row r="88" spans="1:15">
      <c r="A88" s="27" t="s">
        <v>170</v>
      </c>
      <c r="B88" s="27">
        <v>77</v>
      </c>
      <c r="C88" s="27" t="s">
        <v>541</v>
      </c>
      <c r="D88" s="27" t="s">
        <v>554</v>
      </c>
      <c r="E88" s="27">
        <v>2022</v>
      </c>
      <c r="F88" s="28">
        <v>9.1</v>
      </c>
      <c r="G88" s="27">
        <v>3.1</v>
      </c>
      <c r="H88" s="28">
        <v>4.8227586206896573</v>
      </c>
      <c r="I88" s="28">
        <v>2</v>
      </c>
      <c r="J88" s="28">
        <v>4.2</v>
      </c>
      <c r="K88" s="27" t="s">
        <v>578</v>
      </c>
      <c r="L88" s="27">
        <v>7</v>
      </c>
      <c r="M88" s="27">
        <v>3.82</v>
      </c>
      <c r="N88" s="1" t="s">
        <v>594</v>
      </c>
      <c r="O88" s="27">
        <v>65662.77</v>
      </c>
    </row>
    <row r="89" spans="1:15">
      <c r="A89" s="27" t="s">
        <v>448</v>
      </c>
      <c r="B89" s="27">
        <v>36</v>
      </c>
      <c r="C89" s="27" t="s">
        <v>542</v>
      </c>
      <c r="D89" s="27" t="s">
        <v>550</v>
      </c>
      <c r="E89" s="27">
        <v>2023</v>
      </c>
      <c r="F89" s="28">
        <v>9.6999999999999993</v>
      </c>
      <c r="G89" s="27">
        <v>7.8</v>
      </c>
      <c r="H89" s="28">
        <v>2.7</v>
      </c>
      <c r="I89" s="28">
        <v>5.3</v>
      </c>
      <c r="J89" s="28">
        <v>3</v>
      </c>
      <c r="K89" s="27" t="s">
        <v>579</v>
      </c>
      <c r="L89" s="27">
        <v>4</v>
      </c>
      <c r="M89" s="27">
        <v>6.34</v>
      </c>
      <c r="N89" s="1" t="s">
        <v>590</v>
      </c>
      <c r="O89" s="27">
        <v>26926.13</v>
      </c>
    </row>
    <row r="90" spans="1:15">
      <c r="A90" s="27" t="s">
        <v>200</v>
      </c>
      <c r="B90" s="27">
        <v>51</v>
      </c>
      <c r="C90" s="27" t="s">
        <v>541</v>
      </c>
      <c r="D90" s="27" t="s">
        <v>672</v>
      </c>
      <c r="E90" s="27">
        <v>2023</v>
      </c>
      <c r="F90" s="28">
        <v>3.6</v>
      </c>
      <c r="G90" s="27">
        <v>9.8000000000000007</v>
      </c>
      <c r="H90" s="28">
        <v>5.7</v>
      </c>
      <c r="I90" s="28">
        <v>4.0999999999999996</v>
      </c>
      <c r="J90" s="28">
        <v>4.8</v>
      </c>
      <c r="K90" s="27" t="s">
        <v>571</v>
      </c>
      <c r="L90" s="27">
        <v>5</v>
      </c>
      <c r="M90" s="27">
        <v>4.9000000000000004</v>
      </c>
      <c r="N90" s="1" t="s">
        <v>592</v>
      </c>
      <c r="O90" s="27">
        <v>72180.2</v>
      </c>
    </row>
    <row r="91" spans="1:15">
      <c r="A91" s="27" t="s">
        <v>538</v>
      </c>
      <c r="B91" s="27">
        <v>56</v>
      </c>
      <c r="C91" s="27" t="s">
        <v>542</v>
      </c>
      <c r="D91" s="27" t="s">
        <v>672</v>
      </c>
      <c r="E91" s="27">
        <v>2023</v>
      </c>
      <c r="F91" s="28">
        <v>0.8</v>
      </c>
      <c r="G91" s="27">
        <v>1.6</v>
      </c>
      <c r="H91" s="28">
        <v>0.5</v>
      </c>
      <c r="I91" s="28">
        <v>7.2</v>
      </c>
      <c r="J91" s="28">
        <v>9.1999999999999993</v>
      </c>
      <c r="K91" s="27" t="s">
        <v>546</v>
      </c>
      <c r="L91" s="27">
        <v>3</v>
      </c>
      <c r="M91" s="27">
        <v>6.47</v>
      </c>
      <c r="N91" s="1" t="s">
        <v>590</v>
      </c>
      <c r="O91" s="27">
        <v>8103.6</v>
      </c>
    </row>
    <row r="92" spans="1:15">
      <c r="A92" s="27" t="s">
        <v>215</v>
      </c>
      <c r="B92" s="27">
        <v>84</v>
      </c>
      <c r="C92" s="27" t="s">
        <v>543</v>
      </c>
      <c r="D92" s="27" t="s">
        <v>551</v>
      </c>
      <c r="E92" s="27">
        <v>2024</v>
      </c>
      <c r="F92" s="28">
        <v>5.8</v>
      </c>
      <c r="G92" s="27">
        <v>1.7</v>
      </c>
      <c r="H92" s="28">
        <v>1</v>
      </c>
      <c r="I92" s="28">
        <v>6.8</v>
      </c>
      <c r="J92" s="28">
        <v>6.7</v>
      </c>
      <c r="K92" s="27" t="s">
        <v>579</v>
      </c>
      <c r="L92" s="27">
        <v>5</v>
      </c>
      <c r="M92" s="27">
        <v>4.3899999999999997</v>
      </c>
      <c r="N92" s="1" t="s">
        <v>592</v>
      </c>
      <c r="O92" s="27">
        <v>60393.29</v>
      </c>
    </row>
    <row r="93" spans="1:15">
      <c r="A93" s="27" t="s">
        <v>401</v>
      </c>
      <c r="B93" s="27">
        <v>73</v>
      </c>
      <c r="C93" s="27" t="s">
        <v>541</v>
      </c>
      <c r="D93" s="27" t="s">
        <v>555</v>
      </c>
      <c r="E93" s="27">
        <v>2023</v>
      </c>
      <c r="F93" s="28">
        <v>4.0999999999999996</v>
      </c>
      <c r="G93" s="27">
        <v>6.9</v>
      </c>
      <c r="H93" s="28">
        <v>9.8000000000000007</v>
      </c>
      <c r="I93" s="28">
        <v>0.3</v>
      </c>
      <c r="J93" s="28">
        <v>3.5</v>
      </c>
      <c r="K93" s="27" t="s">
        <v>573</v>
      </c>
      <c r="L93" s="27">
        <v>5</v>
      </c>
      <c r="M93" s="27">
        <v>5.49</v>
      </c>
      <c r="N93" s="1" t="s">
        <v>592</v>
      </c>
      <c r="O93" s="27">
        <v>12472.69</v>
      </c>
    </row>
    <row r="94" spans="1:15">
      <c r="A94" s="27" t="s">
        <v>492</v>
      </c>
      <c r="B94" s="27">
        <v>37</v>
      </c>
      <c r="C94" s="27" t="s">
        <v>541</v>
      </c>
      <c r="D94" s="27" t="s">
        <v>551</v>
      </c>
      <c r="E94" s="27">
        <v>2022</v>
      </c>
      <c r="F94" s="28">
        <v>0.3</v>
      </c>
      <c r="G94" s="27">
        <v>7.3</v>
      </c>
      <c r="H94" s="28">
        <v>10</v>
      </c>
      <c r="I94" s="28">
        <v>6.5</v>
      </c>
      <c r="J94" s="28">
        <v>1.1000000000000001</v>
      </c>
      <c r="K94" s="27" t="s">
        <v>579</v>
      </c>
      <c r="L94" s="27">
        <v>6</v>
      </c>
      <c r="M94" s="27">
        <v>5.5</v>
      </c>
      <c r="N94" s="1" t="s">
        <v>592</v>
      </c>
      <c r="O94" s="27">
        <v>28351.3</v>
      </c>
    </row>
    <row r="95" spans="1:15">
      <c r="A95" s="27" t="s">
        <v>121</v>
      </c>
      <c r="B95" s="27">
        <v>22</v>
      </c>
      <c r="C95" s="27" t="s">
        <v>543</v>
      </c>
      <c r="D95" s="27" t="s">
        <v>554</v>
      </c>
      <c r="E95" s="27">
        <v>2023</v>
      </c>
      <c r="F95" s="28">
        <v>5.4</v>
      </c>
      <c r="G95" s="27">
        <v>6.7</v>
      </c>
      <c r="H95" s="28">
        <v>0.1</v>
      </c>
      <c r="I95" s="28">
        <v>5.6</v>
      </c>
      <c r="J95" s="28">
        <v>4.9000000000000004</v>
      </c>
      <c r="K95" s="27" t="s">
        <v>579</v>
      </c>
      <c r="L95" s="27">
        <v>5</v>
      </c>
      <c r="M95" s="27">
        <v>5.43</v>
      </c>
      <c r="N95" s="1" t="s">
        <v>592</v>
      </c>
      <c r="O95" s="27">
        <v>14162.95</v>
      </c>
    </row>
    <row r="96" spans="1:15">
      <c r="A96" s="27" t="s">
        <v>472</v>
      </c>
      <c r="B96" s="27">
        <v>47</v>
      </c>
      <c r="C96" s="27" t="s">
        <v>541</v>
      </c>
      <c r="D96" s="27" t="s">
        <v>551</v>
      </c>
      <c r="E96" s="27">
        <v>2024</v>
      </c>
      <c r="F96" s="28">
        <v>0.2</v>
      </c>
      <c r="G96" s="27">
        <v>5.6</v>
      </c>
      <c r="H96" s="28">
        <v>6.5</v>
      </c>
      <c r="I96" s="28">
        <v>9.4</v>
      </c>
      <c r="J96" s="28">
        <v>6.1</v>
      </c>
      <c r="K96" s="27" t="s">
        <v>574</v>
      </c>
      <c r="L96" s="27">
        <v>6</v>
      </c>
      <c r="M96" s="27">
        <v>5.66</v>
      </c>
      <c r="N96" s="1" t="s">
        <v>592</v>
      </c>
      <c r="O96" s="27">
        <v>34339.19</v>
      </c>
    </row>
    <row r="97" spans="1:15">
      <c r="A97" s="27" t="s">
        <v>109</v>
      </c>
      <c r="B97" s="27">
        <v>70</v>
      </c>
      <c r="C97" s="27" t="s">
        <v>542</v>
      </c>
      <c r="D97" s="27" t="s">
        <v>549</v>
      </c>
      <c r="E97" s="27">
        <v>2022</v>
      </c>
      <c r="F97" s="28">
        <v>8.6</v>
      </c>
      <c r="G97" s="27">
        <v>2.2999999999999998</v>
      </c>
      <c r="H97" s="28">
        <v>8.6</v>
      </c>
      <c r="I97" s="28">
        <v>3</v>
      </c>
      <c r="J97" s="28">
        <v>5.4</v>
      </c>
      <c r="K97" s="27" t="s">
        <v>578</v>
      </c>
      <c r="L97" s="27">
        <v>5</v>
      </c>
      <c r="M97" s="27">
        <v>4.8099999999999996</v>
      </c>
      <c r="N97" s="1" t="s">
        <v>592</v>
      </c>
      <c r="O97" s="27">
        <v>84414.11</v>
      </c>
    </row>
    <row r="98" spans="1:15">
      <c r="A98" s="27" t="s">
        <v>512</v>
      </c>
      <c r="B98" s="27">
        <v>61</v>
      </c>
      <c r="C98" s="27" t="s">
        <v>542</v>
      </c>
      <c r="D98" s="27" t="s">
        <v>553</v>
      </c>
      <c r="E98" s="27">
        <v>2023</v>
      </c>
      <c r="F98" s="28">
        <v>6.2</v>
      </c>
      <c r="G98" s="27">
        <v>0.6</v>
      </c>
      <c r="H98" s="28">
        <v>1.8</v>
      </c>
      <c r="I98" s="28">
        <v>2.5</v>
      </c>
      <c r="J98" s="28">
        <v>6.5</v>
      </c>
      <c r="K98" s="27" t="s">
        <v>571</v>
      </c>
      <c r="L98" s="27">
        <v>7</v>
      </c>
      <c r="M98" s="27">
        <v>2.82</v>
      </c>
      <c r="N98" s="1" t="s">
        <v>594</v>
      </c>
      <c r="O98" s="27">
        <v>49461.75</v>
      </c>
    </row>
    <row r="99" spans="1:15">
      <c r="A99" s="27" t="s">
        <v>167</v>
      </c>
      <c r="B99" s="27">
        <v>37</v>
      </c>
      <c r="C99" s="27" t="s">
        <v>541</v>
      </c>
      <c r="D99" s="27" t="s">
        <v>672</v>
      </c>
      <c r="E99" s="27">
        <v>2022</v>
      </c>
      <c r="F99" s="28">
        <v>1.7</v>
      </c>
      <c r="G99" s="27">
        <v>5.0999999999999996</v>
      </c>
      <c r="H99" s="28">
        <v>5.2</v>
      </c>
      <c r="I99" s="28">
        <v>5.6</v>
      </c>
      <c r="J99" s="28">
        <v>1.6</v>
      </c>
      <c r="K99" s="27" t="s">
        <v>570</v>
      </c>
      <c r="L99" s="27">
        <v>8</v>
      </c>
      <c r="M99" s="27">
        <v>3.71</v>
      </c>
      <c r="N99" s="1" t="s">
        <v>594</v>
      </c>
      <c r="O99" s="27">
        <v>72733.94</v>
      </c>
    </row>
    <row r="100" spans="1:15">
      <c r="A100" s="27" t="s">
        <v>259</v>
      </c>
      <c r="B100" s="27">
        <v>28</v>
      </c>
      <c r="C100" s="27" t="s">
        <v>542</v>
      </c>
      <c r="D100" s="27" t="s">
        <v>556</v>
      </c>
      <c r="E100" s="27">
        <v>2023</v>
      </c>
      <c r="F100" s="28">
        <v>3.3</v>
      </c>
      <c r="G100" s="27">
        <v>7.2</v>
      </c>
      <c r="H100" s="28">
        <v>5.2</v>
      </c>
      <c r="I100" s="28">
        <v>7.6</v>
      </c>
      <c r="J100" s="28">
        <v>2.1</v>
      </c>
      <c r="K100" s="27" t="s">
        <v>579</v>
      </c>
      <c r="L100" s="27">
        <v>6</v>
      </c>
      <c r="M100" s="27">
        <v>5.03</v>
      </c>
      <c r="N100" s="1" t="s">
        <v>592</v>
      </c>
      <c r="O100" s="27">
        <v>60860.69</v>
      </c>
    </row>
    <row r="101" spans="1:15">
      <c r="A101" s="27" t="s">
        <v>130</v>
      </c>
      <c r="B101" s="27">
        <v>62</v>
      </c>
      <c r="C101" s="27" t="s">
        <v>543</v>
      </c>
      <c r="D101" s="27" t="s">
        <v>556</v>
      </c>
      <c r="E101" s="27">
        <v>2022</v>
      </c>
      <c r="F101" s="28">
        <v>6.8</v>
      </c>
      <c r="G101" s="27">
        <v>9.6</v>
      </c>
      <c r="H101" s="28">
        <v>8.6</v>
      </c>
      <c r="I101" s="28">
        <v>1.5</v>
      </c>
      <c r="J101" s="28">
        <v>5.2</v>
      </c>
      <c r="K101" s="27" t="s">
        <v>570</v>
      </c>
      <c r="L101" s="27">
        <v>3</v>
      </c>
      <c r="M101" s="27">
        <v>6.55</v>
      </c>
      <c r="N101" s="1" t="s">
        <v>590</v>
      </c>
      <c r="O101" s="27">
        <v>17771.849999999999</v>
      </c>
    </row>
    <row r="102" spans="1:15">
      <c r="A102" s="27" t="s">
        <v>217</v>
      </c>
      <c r="B102" s="27">
        <v>54</v>
      </c>
      <c r="C102" s="27" t="s">
        <v>542</v>
      </c>
      <c r="D102" s="27" t="s">
        <v>555</v>
      </c>
      <c r="E102" s="27">
        <v>2022</v>
      </c>
      <c r="F102" s="28">
        <v>1.8</v>
      </c>
      <c r="G102" s="27">
        <v>0.9</v>
      </c>
      <c r="H102" s="28">
        <v>9.9</v>
      </c>
      <c r="I102" s="28">
        <v>5.6</v>
      </c>
      <c r="J102" s="28">
        <v>2.2999999999999998</v>
      </c>
      <c r="K102" s="27" t="s">
        <v>578</v>
      </c>
      <c r="L102" s="27">
        <v>8</v>
      </c>
      <c r="M102" s="27">
        <v>3.97</v>
      </c>
      <c r="N102" s="1" t="s">
        <v>594</v>
      </c>
      <c r="O102" s="27">
        <v>67907.210000000006</v>
      </c>
    </row>
    <row r="103" spans="1:15">
      <c r="A103" s="27" t="s">
        <v>296</v>
      </c>
      <c r="B103" s="27">
        <v>55</v>
      </c>
      <c r="C103" s="27" t="s">
        <v>543</v>
      </c>
      <c r="D103" s="27" t="s">
        <v>555</v>
      </c>
      <c r="E103" s="27">
        <v>2024</v>
      </c>
      <c r="F103" s="28">
        <v>4.670129870129867</v>
      </c>
      <c r="G103" s="27">
        <v>3.4</v>
      </c>
      <c r="H103" s="28">
        <v>8</v>
      </c>
      <c r="I103" s="28">
        <v>1.3</v>
      </c>
      <c r="J103" s="28">
        <v>2.7</v>
      </c>
      <c r="K103" s="27" t="s">
        <v>574</v>
      </c>
      <c r="L103" s="27">
        <v>6</v>
      </c>
      <c r="M103" s="27">
        <v>4.18</v>
      </c>
      <c r="N103" s="1" t="s">
        <v>592</v>
      </c>
      <c r="O103" s="27">
        <v>59117.17</v>
      </c>
    </row>
    <row r="104" spans="1:15">
      <c r="A104" s="27" t="s">
        <v>208</v>
      </c>
      <c r="B104" s="27">
        <v>37</v>
      </c>
      <c r="C104" s="27" t="s">
        <v>542</v>
      </c>
      <c r="D104" s="27" t="s">
        <v>556</v>
      </c>
      <c r="E104" s="27">
        <v>2024</v>
      </c>
      <c r="F104" s="28">
        <v>4.0999999999999996</v>
      </c>
      <c r="G104" s="27">
        <v>7.7</v>
      </c>
      <c r="H104" s="28">
        <v>6.7</v>
      </c>
      <c r="I104" s="28">
        <v>7.4</v>
      </c>
      <c r="J104" s="28">
        <v>4.8</v>
      </c>
      <c r="K104" s="27" t="s">
        <v>578</v>
      </c>
      <c r="L104" s="27">
        <v>3</v>
      </c>
      <c r="M104" s="27">
        <v>6.04</v>
      </c>
      <c r="N104" s="1" t="s">
        <v>590</v>
      </c>
      <c r="O104" s="27">
        <v>44849.33</v>
      </c>
    </row>
    <row r="105" spans="1:15">
      <c r="A105" s="27" t="s">
        <v>497</v>
      </c>
      <c r="B105" s="27">
        <v>67</v>
      </c>
      <c r="C105" s="27" t="s">
        <v>542</v>
      </c>
      <c r="D105" s="27" t="s">
        <v>553</v>
      </c>
      <c r="E105" s="27">
        <v>2022</v>
      </c>
      <c r="F105" s="28">
        <v>8.1999999999999993</v>
      </c>
      <c r="G105" s="27">
        <v>4.3</v>
      </c>
      <c r="H105" s="28">
        <v>6.7</v>
      </c>
      <c r="I105" s="28">
        <v>4.8</v>
      </c>
      <c r="J105" s="28">
        <v>2.2000000000000002</v>
      </c>
      <c r="K105" s="27" t="s">
        <v>572</v>
      </c>
      <c r="L105" s="27">
        <v>6</v>
      </c>
      <c r="M105" s="27">
        <v>5.28</v>
      </c>
      <c r="N105" s="1" t="s">
        <v>592</v>
      </c>
      <c r="O105" s="27">
        <v>59260.18</v>
      </c>
    </row>
    <row r="106" spans="1:15">
      <c r="A106" s="27" t="s">
        <v>139</v>
      </c>
      <c r="B106" s="27">
        <v>73</v>
      </c>
      <c r="C106" s="27" t="s">
        <v>543</v>
      </c>
      <c r="D106" s="27" t="s">
        <v>549</v>
      </c>
      <c r="E106" s="27">
        <v>2022</v>
      </c>
      <c r="F106" s="28">
        <v>8.6</v>
      </c>
      <c r="G106" s="27">
        <v>10</v>
      </c>
      <c r="H106" s="28">
        <v>4.6784172661870516</v>
      </c>
      <c r="I106" s="28">
        <v>1.2</v>
      </c>
      <c r="J106" s="28">
        <v>9.1999999999999993</v>
      </c>
      <c r="K106" s="27" t="s">
        <v>578</v>
      </c>
      <c r="L106" s="27">
        <v>3</v>
      </c>
      <c r="M106" s="27">
        <v>7.09</v>
      </c>
      <c r="N106" s="1" t="s">
        <v>590</v>
      </c>
      <c r="O106" s="27">
        <v>13970.02</v>
      </c>
    </row>
    <row r="107" spans="1:15">
      <c r="A107" s="27" t="s">
        <v>274</v>
      </c>
      <c r="B107" s="27">
        <v>49</v>
      </c>
      <c r="C107" s="27" t="s">
        <v>542</v>
      </c>
      <c r="D107" s="27" t="s">
        <v>549</v>
      </c>
      <c r="E107" s="27">
        <v>2023</v>
      </c>
      <c r="F107" s="28">
        <v>6.1</v>
      </c>
      <c r="G107" s="27">
        <v>1.1000000000000001</v>
      </c>
      <c r="H107" s="28">
        <v>8.6</v>
      </c>
      <c r="I107" s="28">
        <v>5.9</v>
      </c>
      <c r="J107" s="28">
        <v>0.3</v>
      </c>
      <c r="K107" s="27" t="s">
        <v>573</v>
      </c>
      <c r="L107" s="27">
        <v>6</v>
      </c>
      <c r="M107" s="27">
        <v>4.4400000000000004</v>
      </c>
      <c r="N107" s="1" t="s">
        <v>592</v>
      </c>
      <c r="O107" s="27">
        <v>72161.3</v>
      </c>
    </row>
    <row r="108" spans="1:15">
      <c r="A108" s="27" t="s">
        <v>153</v>
      </c>
      <c r="B108" s="27">
        <v>84</v>
      </c>
      <c r="C108" s="27" t="s">
        <v>541</v>
      </c>
      <c r="D108" s="27" t="s">
        <v>553</v>
      </c>
      <c r="E108" s="27">
        <v>2022</v>
      </c>
      <c r="F108" s="28">
        <v>8</v>
      </c>
      <c r="G108" s="27">
        <v>2.9</v>
      </c>
      <c r="H108" s="28">
        <v>5</v>
      </c>
      <c r="I108" s="28">
        <v>5.2</v>
      </c>
      <c r="J108" s="28">
        <v>0.3</v>
      </c>
      <c r="K108" s="27" t="s">
        <v>578</v>
      </c>
      <c r="L108" s="27">
        <v>7</v>
      </c>
      <c r="M108" s="27">
        <v>3.96</v>
      </c>
      <c r="N108" s="1" t="s">
        <v>594</v>
      </c>
      <c r="O108" s="27">
        <v>94884.47</v>
      </c>
    </row>
    <row r="109" spans="1:15">
      <c r="A109" s="27" t="s">
        <v>241</v>
      </c>
      <c r="B109" s="27">
        <v>83</v>
      </c>
      <c r="C109" s="27" t="s">
        <v>543</v>
      </c>
      <c r="D109" s="27" t="s">
        <v>672</v>
      </c>
      <c r="E109" s="27">
        <v>2022</v>
      </c>
      <c r="F109" s="28">
        <v>1</v>
      </c>
      <c r="G109" s="27">
        <v>6.5</v>
      </c>
      <c r="H109" s="28">
        <v>2.4</v>
      </c>
      <c r="I109" s="28">
        <v>3.5</v>
      </c>
      <c r="J109" s="28">
        <v>9.9</v>
      </c>
      <c r="K109" s="27" t="s">
        <v>572</v>
      </c>
      <c r="L109" s="27">
        <v>6</v>
      </c>
      <c r="M109" s="27">
        <v>4.8600000000000003</v>
      </c>
      <c r="N109" s="1" t="s">
        <v>592</v>
      </c>
      <c r="O109" s="27">
        <v>18371.580000000002</v>
      </c>
    </row>
    <row r="110" spans="1:15">
      <c r="A110" s="27" t="s">
        <v>205</v>
      </c>
      <c r="B110" s="27">
        <v>21</v>
      </c>
      <c r="C110" s="27" t="s">
        <v>543</v>
      </c>
      <c r="D110" s="27" t="s">
        <v>555</v>
      </c>
      <c r="E110" s="27">
        <v>2022</v>
      </c>
      <c r="F110" s="28">
        <v>6</v>
      </c>
      <c r="G110" s="27">
        <v>3.6</v>
      </c>
      <c r="H110" s="28">
        <v>4.2</v>
      </c>
      <c r="I110" s="28">
        <v>4.3</v>
      </c>
      <c r="J110" s="28">
        <v>1.5</v>
      </c>
      <c r="K110" s="27" t="s">
        <v>571</v>
      </c>
      <c r="L110" s="27">
        <v>6</v>
      </c>
      <c r="M110" s="27">
        <v>4.82</v>
      </c>
      <c r="N110" s="1" t="s">
        <v>592</v>
      </c>
      <c r="O110" s="27">
        <v>27770.22</v>
      </c>
    </row>
    <row r="111" spans="1:15">
      <c r="A111" s="27" t="s">
        <v>158</v>
      </c>
      <c r="B111" s="27">
        <v>53</v>
      </c>
      <c r="C111" s="27" t="s">
        <v>543</v>
      </c>
      <c r="D111" s="27" t="s">
        <v>556</v>
      </c>
      <c r="E111" s="27">
        <v>2024</v>
      </c>
      <c r="F111" s="28">
        <v>0.5</v>
      </c>
      <c r="G111" s="27">
        <v>0.8</v>
      </c>
      <c r="H111" s="28">
        <v>5.2</v>
      </c>
      <c r="I111" s="28">
        <v>8.1</v>
      </c>
      <c r="J111" s="28">
        <v>2.6</v>
      </c>
      <c r="K111" s="27" t="s">
        <v>570</v>
      </c>
      <c r="L111" s="27">
        <v>8</v>
      </c>
      <c r="M111" s="27">
        <v>3.13</v>
      </c>
      <c r="N111" s="1" t="s">
        <v>594</v>
      </c>
      <c r="O111" s="27">
        <v>87542.18</v>
      </c>
    </row>
    <row r="112" spans="1:15">
      <c r="A112" s="27" t="s">
        <v>279</v>
      </c>
      <c r="B112" s="27">
        <v>47</v>
      </c>
      <c r="C112" s="27" t="s">
        <v>541</v>
      </c>
      <c r="D112" s="27" t="s">
        <v>554</v>
      </c>
      <c r="E112" s="27">
        <v>2023</v>
      </c>
      <c r="F112" s="28">
        <v>9.1</v>
      </c>
      <c r="G112" s="27">
        <v>8.1999999999999993</v>
      </c>
      <c r="H112" s="28">
        <v>1.9</v>
      </c>
      <c r="I112" s="28">
        <v>7.9</v>
      </c>
      <c r="J112" s="28">
        <v>2.2000000000000002</v>
      </c>
      <c r="K112" s="27" t="s">
        <v>570</v>
      </c>
      <c r="L112" s="27">
        <v>5</v>
      </c>
      <c r="M112" s="27">
        <v>5.35</v>
      </c>
      <c r="N112" s="1" t="s">
        <v>592</v>
      </c>
      <c r="O112" s="27">
        <v>89107.26</v>
      </c>
    </row>
    <row r="113" spans="1:15">
      <c r="A113" s="27" t="s">
        <v>469</v>
      </c>
      <c r="B113" s="27">
        <v>73</v>
      </c>
      <c r="C113" s="27" t="s">
        <v>542</v>
      </c>
      <c r="D113" s="27" t="s">
        <v>552</v>
      </c>
      <c r="E113" s="27">
        <v>2022</v>
      </c>
      <c r="F113" s="28">
        <v>8.5</v>
      </c>
      <c r="G113" s="27">
        <v>9.6</v>
      </c>
      <c r="H113" s="28">
        <v>5.9</v>
      </c>
      <c r="I113" s="28">
        <v>8.9</v>
      </c>
      <c r="J113" s="28">
        <v>7.1</v>
      </c>
      <c r="K113" s="27" t="s">
        <v>573</v>
      </c>
      <c r="L113" s="27">
        <v>4</v>
      </c>
      <c r="M113" s="27">
        <v>7.98</v>
      </c>
      <c r="N113" s="1" t="s">
        <v>590</v>
      </c>
      <c r="O113" s="27">
        <v>26576.46</v>
      </c>
    </row>
    <row r="114" spans="1:15">
      <c r="A114" s="27" t="s">
        <v>225</v>
      </c>
      <c r="B114" s="27">
        <v>27</v>
      </c>
      <c r="C114" s="27" t="s">
        <v>543</v>
      </c>
      <c r="D114" s="27" t="s">
        <v>553</v>
      </c>
      <c r="E114" s="27">
        <v>2024</v>
      </c>
      <c r="F114" s="28">
        <v>6.6</v>
      </c>
      <c r="G114" s="27">
        <v>6.5</v>
      </c>
      <c r="H114" s="28">
        <v>4.6527559055118113</v>
      </c>
      <c r="I114" s="28">
        <v>8.6999999999999993</v>
      </c>
      <c r="J114" s="28">
        <v>0.1</v>
      </c>
      <c r="K114" s="27" t="s">
        <v>573</v>
      </c>
      <c r="L114" s="27">
        <v>5</v>
      </c>
      <c r="M114" s="27">
        <v>5.92</v>
      </c>
      <c r="N114" s="1" t="s">
        <v>592</v>
      </c>
      <c r="O114" s="27">
        <v>70822.7</v>
      </c>
    </row>
    <row r="115" spans="1:15">
      <c r="A115" s="27" t="s">
        <v>308</v>
      </c>
      <c r="B115" s="27">
        <v>35</v>
      </c>
      <c r="C115" s="27" t="s">
        <v>542</v>
      </c>
      <c r="D115" s="27" t="s">
        <v>553</v>
      </c>
      <c r="E115" s="27">
        <v>2023</v>
      </c>
      <c r="F115" s="28">
        <v>3.3</v>
      </c>
      <c r="G115" s="27">
        <v>3</v>
      </c>
      <c r="H115" s="28">
        <v>3.5</v>
      </c>
      <c r="I115" s="28">
        <v>2.2999999999999998</v>
      </c>
      <c r="J115" s="28">
        <v>4.8731343283582076</v>
      </c>
      <c r="K115" s="27" t="s">
        <v>576</v>
      </c>
      <c r="L115" s="27">
        <v>8</v>
      </c>
      <c r="M115" s="27">
        <v>2.98</v>
      </c>
      <c r="N115" s="1" t="s">
        <v>594</v>
      </c>
      <c r="O115" s="27">
        <v>80439.3</v>
      </c>
    </row>
    <row r="116" spans="1:15">
      <c r="A116" s="27" t="s">
        <v>271</v>
      </c>
      <c r="B116" s="27">
        <v>62</v>
      </c>
      <c r="C116" s="27" t="s">
        <v>546</v>
      </c>
      <c r="D116" s="27" t="s">
        <v>552</v>
      </c>
      <c r="E116" s="27">
        <v>2024</v>
      </c>
      <c r="F116" s="28">
        <v>0.6</v>
      </c>
      <c r="G116" s="27">
        <v>3.5</v>
      </c>
      <c r="H116" s="28">
        <v>4.6527559055118113</v>
      </c>
      <c r="I116" s="28">
        <v>0.5</v>
      </c>
      <c r="J116" s="28">
        <v>4.1220472440944897</v>
      </c>
      <c r="K116" s="27" t="s">
        <v>571</v>
      </c>
      <c r="L116" s="27">
        <v>8</v>
      </c>
      <c r="M116" s="27">
        <v>2.33</v>
      </c>
      <c r="N116" s="1" t="s">
        <v>594</v>
      </c>
      <c r="O116" s="27">
        <v>92262.31</v>
      </c>
    </row>
    <row r="117" spans="1:15">
      <c r="A117" s="27" t="s">
        <v>169</v>
      </c>
      <c r="B117" s="27">
        <v>84</v>
      </c>
      <c r="C117" s="27" t="s">
        <v>543</v>
      </c>
      <c r="D117" s="27" t="s">
        <v>551</v>
      </c>
      <c r="E117" s="27">
        <v>2022</v>
      </c>
      <c r="F117" s="28">
        <v>5.9049180327868838</v>
      </c>
      <c r="G117" s="27">
        <v>7.4</v>
      </c>
      <c r="H117" s="28">
        <v>3</v>
      </c>
      <c r="I117" s="28">
        <v>7.4</v>
      </c>
      <c r="J117" s="28">
        <v>8.5</v>
      </c>
      <c r="K117" s="27" t="s">
        <v>578</v>
      </c>
      <c r="L117" s="27">
        <v>6</v>
      </c>
      <c r="M117" s="27">
        <v>4.46</v>
      </c>
      <c r="N117" s="1" t="s">
        <v>592</v>
      </c>
      <c r="O117" s="27">
        <v>86653.1</v>
      </c>
    </row>
    <row r="118" spans="1:15">
      <c r="A118" s="27" t="s">
        <v>30</v>
      </c>
      <c r="B118" s="27">
        <v>55</v>
      </c>
      <c r="C118" s="27" t="s">
        <v>543</v>
      </c>
      <c r="D118" s="27" t="s">
        <v>554</v>
      </c>
      <c r="E118" s="27">
        <v>2024</v>
      </c>
      <c r="F118" s="28">
        <v>4.4599999999999991</v>
      </c>
      <c r="G118" s="27">
        <v>1.7</v>
      </c>
      <c r="H118" s="28">
        <v>1.7</v>
      </c>
      <c r="I118" s="28">
        <v>5.1563492063492031</v>
      </c>
      <c r="J118" s="28">
        <v>8.3000000000000007</v>
      </c>
      <c r="K118" s="27" t="s">
        <v>576</v>
      </c>
      <c r="L118" s="27">
        <v>6</v>
      </c>
      <c r="M118" s="27">
        <v>4.3899999999999997</v>
      </c>
      <c r="N118" s="1" t="s">
        <v>592</v>
      </c>
      <c r="O118" s="27">
        <v>45620.84</v>
      </c>
    </row>
    <row r="119" spans="1:15">
      <c r="A119" s="27" t="s">
        <v>76</v>
      </c>
      <c r="B119" s="27">
        <v>67</v>
      </c>
      <c r="C119" s="27" t="s">
        <v>543</v>
      </c>
      <c r="D119" s="27" t="s">
        <v>672</v>
      </c>
      <c r="E119" s="27">
        <v>2022</v>
      </c>
      <c r="F119" s="28">
        <v>1.8</v>
      </c>
      <c r="G119" s="27">
        <v>10</v>
      </c>
      <c r="H119" s="28">
        <v>7.8</v>
      </c>
      <c r="I119" s="28">
        <v>2.5</v>
      </c>
      <c r="J119" s="28">
        <v>7</v>
      </c>
      <c r="K119" s="27" t="s">
        <v>573</v>
      </c>
      <c r="L119" s="27">
        <v>5</v>
      </c>
      <c r="M119" s="27">
        <v>5.73</v>
      </c>
      <c r="N119" s="1" t="s">
        <v>592</v>
      </c>
      <c r="O119" s="27">
        <v>24917.87</v>
      </c>
    </row>
    <row r="120" spans="1:15">
      <c r="A120" s="27" t="s">
        <v>165</v>
      </c>
      <c r="B120" s="27">
        <v>75</v>
      </c>
      <c r="C120" s="27" t="s">
        <v>541</v>
      </c>
      <c r="D120" s="27" t="s">
        <v>549</v>
      </c>
      <c r="E120" s="27">
        <v>2023</v>
      </c>
      <c r="F120" s="28">
        <v>5.8</v>
      </c>
      <c r="G120" s="27">
        <v>7.8</v>
      </c>
      <c r="H120" s="28">
        <v>2.7</v>
      </c>
      <c r="I120" s="28">
        <v>7.9</v>
      </c>
      <c r="J120" s="28">
        <v>8.1999999999999993</v>
      </c>
      <c r="K120" s="27" t="s">
        <v>574</v>
      </c>
      <c r="L120" s="27">
        <v>3</v>
      </c>
      <c r="M120" s="27">
        <v>6.1</v>
      </c>
      <c r="N120" s="1" t="s">
        <v>590</v>
      </c>
      <c r="O120" s="27">
        <v>51582.19</v>
      </c>
    </row>
    <row r="121" spans="1:15">
      <c r="A121" s="27" t="s">
        <v>112</v>
      </c>
      <c r="B121" s="27">
        <v>76</v>
      </c>
      <c r="C121" s="27" t="s">
        <v>542</v>
      </c>
      <c r="D121" s="27" t="s">
        <v>552</v>
      </c>
      <c r="E121" s="27">
        <v>2023</v>
      </c>
      <c r="F121" s="28">
        <v>0.3</v>
      </c>
      <c r="G121" s="27">
        <v>4.7</v>
      </c>
      <c r="H121" s="28">
        <v>1.6</v>
      </c>
      <c r="I121" s="28">
        <v>3.6</v>
      </c>
      <c r="J121" s="28">
        <v>5.6</v>
      </c>
      <c r="K121" s="27" t="s">
        <v>571</v>
      </c>
      <c r="L121" s="27">
        <v>8</v>
      </c>
      <c r="M121" s="27">
        <v>3.93</v>
      </c>
      <c r="N121" s="1" t="s">
        <v>594</v>
      </c>
      <c r="O121" s="27">
        <v>17879.849999999999</v>
      </c>
    </row>
    <row r="122" spans="1:15">
      <c r="A122" s="27" t="s">
        <v>452</v>
      </c>
      <c r="B122" s="27">
        <v>29</v>
      </c>
      <c r="C122" s="27" t="s">
        <v>541</v>
      </c>
      <c r="D122" s="27" t="s">
        <v>645</v>
      </c>
      <c r="E122" s="27">
        <v>2023</v>
      </c>
      <c r="F122" s="28">
        <v>0.6</v>
      </c>
      <c r="G122" s="27">
        <v>7.4</v>
      </c>
      <c r="H122" s="28">
        <v>4.0999999999999996</v>
      </c>
      <c r="I122" s="28">
        <v>6.3</v>
      </c>
      <c r="J122" s="28">
        <v>4.8424242424242419</v>
      </c>
      <c r="K122" s="27" t="s">
        <v>573</v>
      </c>
      <c r="L122" s="27">
        <v>5</v>
      </c>
      <c r="M122" s="27">
        <v>4.55</v>
      </c>
      <c r="N122" s="1" t="s">
        <v>592</v>
      </c>
      <c r="O122" s="27">
        <v>66650.28</v>
      </c>
    </row>
    <row r="123" spans="1:15">
      <c r="A123" s="27" t="s">
        <v>453</v>
      </c>
      <c r="B123" s="27">
        <v>42</v>
      </c>
      <c r="C123" s="27" t="s">
        <v>542</v>
      </c>
      <c r="D123" s="27" t="s">
        <v>549</v>
      </c>
      <c r="E123" s="27">
        <v>2024</v>
      </c>
      <c r="F123" s="28">
        <v>2.1</v>
      </c>
      <c r="G123" s="27">
        <v>7.5</v>
      </c>
      <c r="H123" s="28">
        <v>5.5</v>
      </c>
      <c r="I123" s="28">
        <v>5.3</v>
      </c>
      <c r="J123" s="28">
        <v>7.3</v>
      </c>
      <c r="K123" s="27" t="s">
        <v>576</v>
      </c>
      <c r="L123" s="27">
        <v>6</v>
      </c>
      <c r="M123" s="27">
        <v>5.67</v>
      </c>
      <c r="N123" s="1" t="s">
        <v>592</v>
      </c>
      <c r="O123" s="27">
        <v>24342.06</v>
      </c>
    </row>
    <row r="124" spans="1:15">
      <c r="A124" s="27" t="s">
        <v>80</v>
      </c>
      <c r="B124" s="27">
        <v>84</v>
      </c>
      <c r="C124" s="27" t="s">
        <v>542</v>
      </c>
      <c r="D124" s="27" t="s">
        <v>552</v>
      </c>
      <c r="E124" s="27">
        <v>2022</v>
      </c>
      <c r="F124" s="28">
        <v>8.4</v>
      </c>
      <c r="G124" s="27">
        <v>8.8000000000000007</v>
      </c>
      <c r="H124" s="28">
        <v>1.4</v>
      </c>
      <c r="I124" s="28">
        <v>5.3</v>
      </c>
      <c r="J124" s="28">
        <v>8.6999999999999993</v>
      </c>
      <c r="K124" s="27" t="s">
        <v>578</v>
      </c>
      <c r="L124" s="27">
        <v>3</v>
      </c>
      <c r="M124" s="27">
        <v>7.02</v>
      </c>
      <c r="N124" s="1" t="s">
        <v>590</v>
      </c>
      <c r="O124" s="27">
        <v>50133.47</v>
      </c>
    </row>
    <row r="125" spans="1:15">
      <c r="A125" s="27" t="s">
        <v>338</v>
      </c>
      <c r="B125" s="27">
        <v>29</v>
      </c>
      <c r="C125" s="27" t="s">
        <v>542</v>
      </c>
      <c r="D125" s="27" t="s">
        <v>552</v>
      </c>
      <c r="E125" s="27">
        <v>2023</v>
      </c>
      <c r="F125" s="28">
        <v>4.0999999999999996</v>
      </c>
      <c r="G125" s="27">
        <v>7.6</v>
      </c>
      <c r="H125" s="28">
        <v>3.1</v>
      </c>
      <c r="I125" s="28">
        <v>4.4000000000000004</v>
      </c>
      <c r="J125" s="28">
        <v>3.4</v>
      </c>
      <c r="K125" s="27" t="s">
        <v>578</v>
      </c>
      <c r="L125" s="27">
        <v>6</v>
      </c>
      <c r="M125" s="27">
        <v>4.13</v>
      </c>
      <c r="N125" s="1" t="s">
        <v>592</v>
      </c>
      <c r="O125" s="27">
        <v>75519.05</v>
      </c>
    </row>
    <row r="126" spans="1:15">
      <c r="A126" s="27" t="s">
        <v>341</v>
      </c>
      <c r="B126" s="27">
        <v>73</v>
      </c>
      <c r="C126" s="27" t="s">
        <v>541</v>
      </c>
      <c r="D126" s="27" t="s">
        <v>550</v>
      </c>
      <c r="E126" s="27">
        <v>2023</v>
      </c>
      <c r="F126" s="28">
        <v>9.3000000000000007</v>
      </c>
      <c r="G126" s="27">
        <v>5.4</v>
      </c>
      <c r="H126" s="28">
        <v>0.1</v>
      </c>
      <c r="I126" s="28">
        <v>7.8</v>
      </c>
      <c r="J126" s="28">
        <v>8.8000000000000007</v>
      </c>
      <c r="K126" s="27" t="s">
        <v>579</v>
      </c>
      <c r="L126" s="27">
        <v>5</v>
      </c>
      <c r="M126" s="27">
        <v>5.52</v>
      </c>
      <c r="N126" s="1" t="s">
        <v>592</v>
      </c>
      <c r="O126" s="27">
        <v>80400.3</v>
      </c>
    </row>
    <row r="127" spans="1:15">
      <c r="A127" s="27" t="s">
        <v>246</v>
      </c>
      <c r="B127" s="27">
        <v>49</v>
      </c>
      <c r="C127" s="27" t="s">
        <v>543</v>
      </c>
      <c r="D127" s="27" t="s">
        <v>555</v>
      </c>
      <c r="E127" s="27">
        <v>2023</v>
      </c>
      <c r="F127" s="28">
        <v>8.8000000000000007</v>
      </c>
      <c r="G127" s="27">
        <v>8.4</v>
      </c>
      <c r="H127" s="28">
        <v>3.9</v>
      </c>
      <c r="I127" s="28">
        <v>9.3000000000000007</v>
      </c>
      <c r="J127" s="28">
        <v>4.3</v>
      </c>
      <c r="K127" s="27" t="s">
        <v>573</v>
      </c>
      <c r="L127" s="27">
        <v>2</v>
      </c>
      <c r="M127" s="27">
        <v>35.47</v>
      </c>
      <c r="N127" s="1" t="s">
        <v>591</v>
      </c>
      <c r="O127" s="27">
        <v>11416.24</v>
      </c>
    </row>
    <row r="128" spans="1:15">
      <c r="A128" s="27" t="s">
        <v>489</v>
      </c>
      <c r="B128" s="27">
        <v>73</v>
      </c>
      <c r="C128" s="27" t="s">
        <v>541</v>
      </c>
      <c r="D128" s="27" t="s">
        <v>555</v>
      </c>
      <c r="E128" s="27">
        <v>2023</v>
      </c>
      <c r="F128" s="28">
        <v>6.5</v>
      </c>
      <c r="G128" s="27">
        <v>5.5</v>
      </c>
      <c r="H128" s="28">
        <v>4.851162790697674</v>
      </c>
      <c r="I128" s="28">
        <v>4.6385826771653553</v>
      </c>
      <c r="J128" s="28">
        <v>4</v>
      </c>
      <c r="K128" s="27" t="s">
        <v>578</v>
      </c>
      <c r="L128" s="27">
        <v>4</v>
      </c>
      <c r="M128" s="27">
        <v>7.5</v>
      </c>
      <c r="N128" s="1" t="s">
        <v>590</v>
      </c>
      <c r="O128" s="27">
        <v>6475.82</v>
      </c>
    </row>
    <row r="129" spans="1:15">
      <c r="A129" s="27" t="s">
        <v>182</v>
      </c>
      <c r="B129" s="27">
        <v>30</v>
      </c>
      <c r="C129" s="27" t="s">
        <v>542</v>
      </c>
      <c r="D129" s="27" t="s">
        <v>553</v>
      </c>
      <c r="E129" s="27">
        <v>2024</v>
      </c>
      <c r="F129" s="28">
        <v>5.4</v>
      </c>
      <c r="G129" s="27">
        <v>0.8</v>
      </c>
      <c r="H129" s="28">
        <v>4.5</v>
      </c>
      <c r="I129" s="28">
        <v>8.9</v>
      </c>
      <c r="J129" s="28">
        <v>9.6999999999999993</v>
      </c>
      <c r="K129" s="27" t="s">
        <v>579</v>
      </c>
      <c r="L129" s="27">
        <v>6</v>
      </c>
      <c r="M129" s="27">
        <v>4.87</v>
      </c>
      <c r="N129" s="1" t="s">
        <v>592</v>
      </c>
      <c r="O129" s="27">
        <v>87891.34</v>
      </c>
    </row>
    <row r="130" spans="1:15">
      <c r="A130" s="27" t="s">
        <v>388</v>
      </c>
      <c r="B130" s="27">
        <v>39</v>
      </c>
      <c r="C130" s="27" t="s">
        <v>542</v>
      </c>
      <c r="D130" s="27" t="s">
        <v>549</v>
      </c>
      <c r="E130" s="27">
        <v>2024</v>
      </c>
      <c r="F130" s="28">
        <v>0.7</v>
      </c>
      <c r="G130" s="27">
        <v>4.3</v>
      </c>
      <c r="H130" s="28">
        <v>9.8000000000000007</v>
      </c>
      <c r="I130" s="28">
        <v>8.8000000000000007</v>
      </c>
      <c r="J130" s="28">
        <v>8.9</v>
      </c>
      <c r="K130" s="27" t="s">
        <v>570</v>
      </c>
      <c r="L130" s="27">
        <v>3</v>
      </c>
      <c r="M130" s="27">
        <v>6.28</v>
      </c>
      <c r="N130" s="1" t="s">
        <v>590</v>
      </c>
      <c r="O130" s="27">
        <v>31086.5</v>
      </c>
    </row>
    <row r="131" spans="1:15">
      <c r="A131" s="27" t="s">
        <v>459</v>
      </c>
      <c r="B131" s="27">
        <v>51</v>
      </c>
      <c r="C131" s="27" t="s">
        <v>543</v>
      </c>
      <c r="D131" s="27" t="s">
        <v>554</v>
      </c>
      <c r="E131" s="27">
        <v>2022</v>
      </c>
      <c r="F131" s="28">
        <v>1</v>
      </c>
      <c r="G131" s="27">
        <v>0.2</v>
      </c>
      <c r="H131" s="28">
        <v>7</v>
      </c>
      <c r="I131" s="28">
        <v>7.4</v>
      </c>
      <c r="J131" s="28">
        <v>0.2</v>
      </c>
      <c r="K131" s="27" t="s">
        <v>573</v>
      </c>
      <c r="L131" s="27">
        <v>7</v>
      </c>
      <c r="M131" s="27">
        <v>3.44</v>
      </c>
      <c r="N131" s="1" t="s">
        <v>594</v>
      </c>
      <c r="O131" s="27">
        <v>66913.42</v>
      </c>
    </row>
    <row r="132" spans="1:15">
      <c r="A132" s="27" t="s">
        <v>19</v>
      </c>
      <c r="B132" s="27">
        <v>76</v>
      </c>
      <c r="C132" s="27" t="s">
        <v>543</v>
      </c>
      <c r="D132" s="27" t="s">
        <v>553</v>
      </c>
      <c r="E132" s="27">
        <v>2022</v>
      </c>
      <c r="F132" s="28">
        <v>3.6</v>
      </c>
      <c r="G132" s="27">
        <v>5.7</v>
      </c>
      <c r="H132" s="28">
        <v>5.2</v>
      </c>
      <c r="I132" s="28">
        <v>3.2</v>
      </c>
      <c r="J132" s="28">
        <v>5.6893129770992372</v>
      </c>
      <c r="K132" s="27" t="s">
        <v>573</v>
      </c>
      <c r="L132" s="27">
        <v>1</v>
      </c>
      <c r="M132" s="27">
        <v>24.41</v>
      </c>
      <c r="N132" s="1" t="s">
        <v>591</v>
      </c>
      <c r="O132" s="27">
        <v>19349.740000000002</v>
      </c>
    </row>
    <row r="133" spans="1:15">
      <c r="A133" s="27" t="s">
        <v>455</v>
      </c>
      <c r="B133" s="27">
        <v>87</v>
      </c>
      <c r="C133" s="27" t="s">
        <v>541</v>
      </c>
      <c r="D133" s="27" t="s">
        <v>553</v>
      </c>
      <c r="E133" s="27">
        <v>2024</v>
      </c>
      <c r="F133" s="28">
        <v>4.9000000000000004</v>
      </c>
      <c r="G133" s="27">
        <v>5.3</v>
      </c>
      <c r="H133" s="28">
        <v>3.8</v>
      </c>
      <c r="I133" s="28">
        <v>6.3</v>
      </c>
      <c r="J133" s="28">
        <v>0.4</v>
      </c>
      <c r="K133" s="27" t="s">
        <v>546</v>
      </c>
      <c r="L133" s="27">
        <v>5</v>
      </c>
      <c r="M133" s="27">
        <v>4.54</v>
      </c>
      <c r="N133" s="1" t="s">
        <v>592</v>
      </c>
      <c r="O133" s="27">
        <v>51978.67</v>
      </c>
    </row>
    <row r="134" spans="1:15">
      <c r="A134" s="27" t="s">
        <v>518</v>
      </c>
      <c r="B134" s="27">
        <v>41</v>
      </c>
      <c r="C134" s="27" t="s">
        <v>546</v>
      </c>
      <c r="D134" s="27" t="s">
        <v>555</v>
      </c>
      <c r="E134" s="27">
        <v>2023</v>
      </c>
      <c r="F134" s="28">
        <v>4.5</v>
      </c>
      <c r="G134" s="27">
        <v>9.6999999999999993</v>
      </c>
      <c r="H134" s="28">
        <v>4.851162790697674</v>
      </c>
      <c r="I134" s="28">
        <v>7.5</v>
      </c>
      <c r="J134" s="28">
        <v>5.9</v>
      </c>
      <c r="K134" s="27" t="s">
        <v>572</v>
      </c>
      <c r="L134" s="27">
        <v>4</v>
      </c>
      <c r="M134" s="27">
        <v>6.29</v>
      </c>
      <c r="N134" s="1" t="s">
        <v>590</v>
      </c>
      <c r="O134" s="27">
        <v>25995.51</v>
      </c>
    </row>
    <row r="135" spans="1:15">
      <c r="A135" s="27" t="s">
        <v>339</v>
      </c>
      <c r="B135" s="27">
        <v>30</v>
      </c>
      <c r="C135" s="27" t="s">
        <v>543</v>
      </c>
      <c r="D135" s="27" t="s">
        <v>672</v>
      </c>
      <c r="E135" s="27">
        <v>2024</v>
      </c>
      <c r="F135" s="28">
        <v>1.4</v>
      </c>
      <c r="G135" s="27">
        <v>3.8</v>
      </c>
      <c r="H135" s="28">
        <v>1.8</v>
      </c>
      <c r="I135" s="28">
        <v>0.1</v>
      </c>
      <c r="J135" s="28">
        <v>3.9</v>
      </c>
      <c r="K135" s="27" t="s">
        <v>573</v>
      </c>
      <c r="L135" s="27">
        <v>8</v>
      </c>
      <c r="M135" s="27">
        <v>2.46</v>
      </c>
      <c r="N135" s="1" t="s">
        <v>594</v>
      </c>
      <c r="O135" s="27">
        <v>53251.5</v>
      </c>
    </row>
    <row r="136" spans="1:15">
      <c r="A136" s="27" t="s">
        <v>265</v>
      </c>
      <c r="B136" s="27">
        <v>58</v>
      </c>
      <c r="C136" s="27" t="s">
        <v>542</v>
      </c>
      <c r="D136" s="27" t="s">
        <v>553</v>
      </c>
      <c r="E136" s="27">
        <v>2022</v>
      </c>
      <c r="F136" s="28">
        <v>5.7</v>
      </c>
      <c r="G136" s="27">
        <v>4.4000000000000004</v>
      </c>
      <c r="H136" s="28">
        <v>6.3</v>
      </c>
      <c r="I136" s="28">
        <v>1.9</v>
      </c>
      <c r="J136" s="28">
        <v>6.2</v>
      </c>
      <c r="K136" s="27" t="s">
        <v>570</v>
      </c>
      <c r="L136" s="27">
        <v>5</v>
      </c>
      <c r="M136" s="27">
        <v>4.28</v>
      </c>
      <c r="N136" s="1" t="s">
        <v>592</v>
      </c>
      <c r="O136" s="27">
        <v>73493.03</v>
      </c>
    </row>
    <row r="137" spans="1:15">
      <c r="A137" s="27" t="s">
        <v>186</v>
      </c>
      <c r="B137" s="27">
        <v>31</v>
      </c>
      <c r="C137" s="27" t="s">
        <v>542</v>
      </c>
      <c r="D137" s="27" t="s">
        <v>551</v>
      </c>
      <c r="E137" s="27">
        <v>2024</v>
      </c>
      <c r="F137" s="28">
        <v>4.7</v>
      </c>
      <c r="G137" s="27">
        <v>0.5</v>
      </c>
      <c r="H137" s="28">
        <v>4</v>
      </c>
      <c r="I137" s="28">
        <v>8</v>
      </c>
      <c r="J137" s="28">
        <v>7.2</v>
      </c>
      <c r="K137" s="27" t="s">
        <v>573</v>
      </c>
      <c r="L137" s="27">
        <v>5</v>
      </c>
      <c r="M137" s="27">
        <v>4.3899999999999997</v>
      </c>
      <c r="N137" s="1" t="s">
        <v>592</v>
      </c>
      <c r="O137" s="27">
        <v>77439.539999999994</v>
      </c>
    </row>
    <row r="138" spans="1:15">
      <c r="A138" s="27" t="s">
        <v>307</v>
      </c>
      <c r="B138" s="27">
        <v>32</v>
      </c>
      <c r="C138" s="27" t="s">
        <v>542</v>
      </c>
      <c r="D138" s="27" t="s">
        <v>554</v>
      </c>
      <c r="E138" s="27">
        <v>2022</v>
      </c>
      <c r="F138" s="28">
        <v>4.4000000000000004</v>
      </c>
      <c r="G138" s="27">
        <v>6.9</v>
      </c>
      <c r="H138" s="28">
        <v>4.7</v>
      </c>
      <c r="I138" s="28">
        <v>1.8</v>
      </c>
      <c r="J138" s="28">
        <v>3.1</v>
      </c>
      <c r="K138" s="27" t="s">
        <v>570</v>
      </c>
      <c r="L138" s="27">
        <v>7</v>
      </c>
      <c r="M138" s="27">
        <v>3.65</v>
      </c>
      <c r="N138" s="1" t="s">
        <v>594</v>
      </c>
      <c r="O138" s="27">
        <v>82073.36</v>
      </c>
    </row>
    <row r="139" spans="1:15">
      <c r="A139" s="27" t="s">
        <v>438</v>
      </c>
      <c r="B139" s="27">
        <v>26</v>
      </c>
      <c r="C139" s="27" t="s">
        <v>543</v>
      </c>
      <c r="D139" s="27" t="s">
        <v>556</v>
      </c>
      <c r="E139" s="27">
        <v>2023</v>
      </c>
      <c r="F139" s="28">
        <v>4.4000000000000004</v>
      </c>
      <c r="G139" s="27">
        <v>9.1</v>
      </c>
      <c r="H139" s="28">
        <v>9.8000000000000007</v>
      </c>
      <c r="I139" s="28">
        <v>2.7</v>
      </c>
      <c r="J139" s="28">
        <v>4.3</v>
      </c>
      <c r="K139" s="27" t="s">
        <v>573</v>
      </c>
      <c r="L139" s="27">
        <v>5</v>
      </c>
      <c r="M139" s="27">
        <v>5.51</v>
      </c>
      <c r="N139" s="1" t="s">
        <v>592</v>
      </c>
      <c r="O139" s="27">
        <v>58502</v>
      </c>
    </row>
    <row r="140" spans="1:15">
      <c r="A140" s="27" t="s">
        <v>118</v>
      </c>
      <c r="B140" s="27">
        <v>30</v>
      </c>
      <c r="C140" s="27" t="s">
        <v>543</v>
      </c>
      <c r="D140" s="27" t="s">
        <v>553</v>
      </c>
      <c r="E140" s="27">
        <v>2024</v>
      </c>
      <c r="F140" s="28">
        <v>5.0999999999999996</v>
      </c>
      <c r="G140" s="27">
        <v>7</v>
      </c>
      <c r="H140" s="28">
        <v>5.3</v>
      </c>
      <c r="I140" s="28">
        <v>1.1000000000000001</v>
      </c>
      <c r="J140" s="28">
        <v>8.1999999999999993</v>
      </c>
      <c r="K140" s="27" t="s">
        <v>576</v>
      </c>
      <c r="L140" s="27">
        <v>6</v>
      </c>
      <c r="M140" s="27">
        <v>4.3600000000000003</v>
      </c>
      <c r="N140" s="1" t="s">
        <v>592</v>
      </c>
      <c r="O140" s="27">
        <v>77012.490000000005</v>
      </c>
    </row>
    <row r="141" spans="1:15">
      <c r="A141" s="27" t="s">
        <v>349</v>
      </c>
      <c r="B141" s="27">
        <v>80</v>
      </c>
      <c r="C141" s="27" t="s">
        <v>541</v>
      </c>
      <c r="D141" s="27" t="s">
        <v>555</v>
      </c>
      <c r="E141" s="27">
        <v>2023</v>
      </c>
      <c r="F141" s="28">
        <v>3.6</v>
      </c>
      <c r="G141" s="27">
        <v>7.3</v>
      </c>
      <c r="H141" s="28">
        <v>1.1000000000000001</v>
      </c>
      <c r="I141" s="28">
        <v>6</v>
      </c>
      <c r="J141" s="28">
        <v>0.7</v>
      </c>
      <c r="K141" s="27" t="s">
        <v>570</v>
      </c>
      <c r="L141" s="27">
        <v>6</v>
      </c>
      <c r="M141" s="27">
        <v>4.33</v>
      </c>
      <c r="N141" s="1" t="s">
        <v>592</v>
      </c>
      <c r="O141" s="27">
        <v>45911.46</v>
      </c>
    </row>
    <row r="142" spans="1:15">
      <c r="A142" s="27" t="s">
        <v>11</v>
      </c>
      <c r="B142" s="27">
        <v>83</v>
      </c>
      <c r="C142" s="27" t="s">
        <v>542</v>
      </c>
      <c r="D142" s="27" t="s">
        <v>672</v>
      </c>
      <c r="E142" s="27">
        <v>2024</v>
      </c>
      <c r="F142" s="28">
        <v>4.2</v>
      </c>
      <c r="G142" s="27">
        <v>5.0999999999999996</v>
      </c>
      <c r="H142" s="28">
        <v>9.6</v>
      </c>
      <c r="I142" s="28">
        <v>8</v>
      </c>
      <c r="J142" s="28">
        <v>5.7</v>
      </c>
      <c r="K142" s="27" t="s">
        <v>571</v>
      </c>
      <c r="L142" s="27">
        <v>6</v>
      </c>
      <c r="M142" s="27">
        <v>5.43</v>
      </c>
      <c r="N142" s="1" t="s">
        <v>592</v>
      </c>
      <c r="O142" s="27">
        <v>89048.16</v>
      </c>
    </row>
    <row r="143" spans="1:15">
      <c r="A143" s="27" t="s">
        <v>173</v>
      </c>
      <c r="B143" s="27">
        <v>63</v>
      </c>
      <c r="C143" s="27" t="s">
        <v>543</v>
      </c>
      <c r="D143" s="27" t="s">
        <v>554</v>
      </c>
      <c r="E143" s="27">
        <v>2023</v>
      </c>
      <c r="F143" s="28">
        <v>4.0999999999999996</v>
      </c>
      <c r="G143" s="27">
        <v>4.8</v>
      </c>
      <c r="H143" s="28">
        <v>4.8417322834645677</v>
      </c>
      <c r="I143" s="28">
        <v>7.3</v>
      </c>
      <c r="J143" s="28">
        <v>5.3</v>
      </c>
      <c r="K143" s="27" t="s">
        <v>546</v>
      </c>
      <c r="L143" s="27">
        <v>5</v>
      </c>
      <c r="M143" s="27">
        <v>5.0999999999999996</v>
      </c>
      <c r="N143" s="1" t="s">
        <v>592</v>
      </c>
      <c r="O143" s="27">
        <v>56152.41</v>
      </c>
    </row>
    <row r="144" spans="1:15">
      <c r="A144" s="27" t="s">
        <v>334</v>
      </c>
      <c r="B144" s="27">
        <v>78</v>
      </c>
      <c r="C144" s="27" t="s">
        <v>542</v>
      </c>
      <c r="D144" s="27" t="s">
        <v>556</v>
      </c>
      <c r="E144" s="27">
        <v>2023</v>
      </c>
      <c r="F144" s="28">
        <v>6.2</v>
      </c>
      <c r="G144" s="27">
        <v>3.4</v>
      </c>
      <c r="H144" s="28">
        <v>0.3</v>
      </c>
      <c r="I144" s="28">
        <v>9.8000000000000007</v>
      </c>
      <c r="J144" s="28">
        <v>9.6999999999999993</v>
      </c>
      <c r="K144" s="27" t="s">
        <v>574</v>
      </c>
      <c r="L144" s="27">
        <v>6</v>
      </c>
      <c r="M144" s="27">
        <v>5.98</v>
      </c>
      <c r="N144" s="1" t="s">
        <v>592</v>
      </c>
      <c r="O144" s="27">
        <v>37144.35</v>
      </c>
    </row>
    <row r="145" spans="1:15">
      <c r="A145" s="27" t="s">
        <v>88</v>
      </c>
      <c r="B145" s="27">
        <v>29</v>
      </c>
      <c r="C145" s="27" t="s">
        <v>541</v>
      </c>
      <c r="D145" s="27" t="s">
        <v>552</v>
      </c>
      <c r="E145" s="27">
        <v>2022</v>
      </c>
      <c r="F145" s="28">
        <v>8.1999999999999993</v>
      </c>
      <c r="G145" s="27">
        <v>0.6</v>
      </c>
      <c r="H145" s="28">
        <v>6.8</v>
      </c>
      <c r="I145" s="28">
        <v>8.3000000000000007</v>
      </c>
      <c r="J145" s="28">
        <v>8.3000000000000007</v>
      </c>
      <c r="K145" s="27" t="s">
        <v>576</v>
      </c>
      <c r="L145" s="27">
        <v>4</v>
      </c>
      <c r="M145" s="27">
        <v>6.13</v>
      </c>
      <c r="N145" s="1" t="s">
        <v>590</v>
      </c>
      <c r="O145" s="27">
        <v>55375.19</v>
      </c>
    </row>
    <row r="146" spans="1:15">
      <c r="A146" s="27" t="s">
        <v>392</v>
      </c>
      <c r="B146" s="27">
        <v>34</v>
      </c>
      <c r="C146" s="27" t="s">
        <v>543</v>
      </c>
      <c r="D146" s="27" t="s">
        <v>556</v>
      </c>
      <c r="E146" s="27">
        <v>2023</v>
      </c>
      <c r="F146" s="28">
        <v>4.7</v>
      </c>
      <c r="G146" s="27">
        <v>0.7</v>
      </c>
      <c r="H146" s="28">
        <v>3.5</v>
      </c>
      <c r="I146" s="28">
        <v>4.9000000000000004</v>
      </c>
      <c r="J146" s="28">
        <v>3.8</v>
      </c>
      <c r="K146" s="27" t="s">
        <v>570</v>
      </c>
      <c r="L146" s="27">
        <v>5</v>
      </c>
      <c r="M146" s="27">
        <v>4.28</v>
      </c>
      <c r="N146" s="1" t="s">
        <v>592</v>
      </c>
      <c r="O146" s="27">
        <v>32333.1</v>
      </c>
    </row>
    <row r="147" spans="1:15">
      <c r="A147" s="27" t="s">
        <v>484</v>
      </c>
      <c r="B147" s="27">
        <v>78</v>
      </c>
      <c r="C147" s="27" t="s">
        <v>543</v>
      </c>
      <c r="D147" s="27" t="s">
        <v>555</v>
      </c>
      <c r="E147" s="27">
        <v>2023</v>
      </c>
      <c r="F147" s="28">
        <v>8</v>
      </c>
      <c r="G147" s="27">
        <v>6.9</v>
      </c>
      <c r="H147" s="28">
        <v>7.6</v>
      </c>
      <c r="I147" s="28">
        <v>3.3</v>
      </c>
      <c r="J147" s="28">
        <v>4.0999999999999996</v>
      </c>
      <c r="K147" s="27" t="s">
        <v>578</v>
      </c>
      <c r="L147" s="27">
        <v>3</v>
      </c>
      <c r="M147" s="27">
        <v>6.3</v>
      </c>
      <c r="N147" s="1" t="s">
        <v>590</v>
      </c>
      <c r="O147" s="27">
        <v>27483.85</v>
      </c>
    </row>
    <row r="148" spans="1:15">
      <c r="A148" s="27" t="s">
        <v>467</v>
      </c>
      <c r="B148" s="27">
        <v>61</v>
      </c>
      <c r="C148" s="27" t="s">
        <v>541</v>
      </c>
      <c r="D148" s="27" t="s">
        <v>554</v>
      </c>
      <c r="E148" s="27">
        <v>2022</v>
      </c>
      <c r="F148" s="28">
        <v>9</v>
      </c>
      <c r="G148" s="27">
        <v>9.1999999999999993</v>
      </c>
      <c r="H148" s="28">
        <v>1.3</v>
      </c>
      <c r="I148" s="28">
        <v>0.8</v>
      </c>
      <c r="J148" s="28">
        <v>4</v>
      </c>
      <c r="K148" s="27" t="s">
        <v>572</v>
      </c>
      <c r="L148" s="27">
        <v>5</v>
      </c>
      <c r="M148" s="27">
        <v>5.33</v>
      </c>
      <c r="N148" s="1" t="s">
        <v>592</v>
      </c>
      <c r="O148" s="27">
        <v>30098.43</v>
      </c>
    </row>
    <row r="149" spans="1:15">
      <c r="A149" s="27" t="s">
        <v>516</v>
      </c>
      <c r="B149" s="27">
        <v>62</v>
      </c>
      <c r="C149" s="27" t="s">
        <v>542</v>
      </c>
      <c r="D149" s="27" t="s">
        <v>672</v>
      </c>
      <c r="E149" s="27">
        <v>2022</v>
      </c>
      <c r="F149" s="28">
        <v>6.5</v>
      </c>
      <c r="G149" s="27">
        <v>6.6</v>
      </c>
      <c r="H149" s="28">
        <v>7.4</v>
      </c>
      <c r="I149" s="28">
        <v>3.6</v>
      </c>
      <c r="J149" s="28">
        <v>9.6</v>
      </c>
      <c r="K149" s="27" t="s">
        <v>571</v>
      </c>
      <c r="L149" s="27">
        <v>1</v>
      </c>
      <c r="M149" s="27">
        <v>33.770000000000003</v>
      </c>
      <c r="N149" s="1" t="s">
        <v>591</v>
      </c>
      <c r="O149" s="27">
        <v>50197.81</v>
      </c>
    </row>
    <row r="150" spans="1:15">
      <c r="A150" s="27" t="s">
        <v>383</v>
      </c>
      <c r="B150" s="27">
        <v>43</v>
      </c>
      <c r="C150" s="27" t="s">
        <v>541</v>
      </c>
      <c r="D150" s="27" t="s">
        <v>672</v>
      </c>
      <c r="E150" s="27">
        <v>2023</v>
      </c>
      <c r="F150" s="28">
        <v>0</v>
      </c>
      <c r="G150" s="27">
        <v>2.2999999999999998</v>
      </c>
      <c r="H150" s="28">
        <v>7.3</v>
      </c>
      <c r="I150" s="28">
        <v>5.3</v>
      </c>
      <c r="J150" s="28">
        <v>5</v>
      </c>
      <c r="K150" s="27" t="s">
        <v>571</v>
      </c>
      <c r="L150" s="27">
        <v>5</v>
      </c>
      <c r="M150" s="27">
        <v>4.07</v>
      </c>
      <c r="N150" s="1" t="s">
        <v>592</v>
      </c>
      <c r="O150" s="27">
        <v>46507.7</v>
      </c>
    </row>
    <row r="151" spans="1:15">
      <c r="A151" s="27" t="s">
        <v>501</v>
      </c>
      <c r="B151" s="27">
        <v>82</v>
      </c>
      <c r="C151" s="27" t="s">
        <v>543</v>
      </c>
      <c r="D151" s="27" t="s">
        <v>549</v>
      </c>
      <c r="E151" s="27">
        <v>2024</v>
      </c>
      <c r="F151" s="28">
        <v>8.1999999999999993</v>
      </c>
      <c r="G151" s="27">
        <v>8.3000000000000007</v>
      </c>
      <c r="H151" s="28">
        <v>4.0999999999999996</v>
      </c>
      <c r="I151" s="28">
        <v>9.5</v>
      </c>
      <c r="J151" s="28">
        <v>1.7</v>
      </c>
      <c r="K151" s="27" t="s">
        <v>571</v>
      </c>
      <c r="L151" s="27">
        <v>4</v>
      </c>
      <c r="M151" s="27">
        <v>6.72</v>
      </c>
      <c r="N151" s="1" t="s">
        <v>590</v>
      </c>
      <c r="O151" s="27">
        <v>42444.57</v>
      </c>
    </row>
    <row r="152" spans="1:15">
      <c r="A152" s="27" t="s">
        <v>164</v>
      </c>
      <c r="B152" s="27">
        <v>62</v>
      </c>
      <c r="C152" s="27" t="s">
        <v>542</v>
      </c>
      <c r="D152" s="27" t="s">
        <v>645</v>
      </c>
      <c r="E152" s="27">
        <v>2023</v>
      </c>
      <c r="F152" s="28">
        <v>4.2</v>
      </c>
      <c r="G152" s="27">
        <v>1.6</v>
      </c>
      <c r="H152" s="28">
        <v>0.7</v>
      </c>
      <c r="I152" s="28">
        <v>4.5571428571428578</v>
      </c>
      <c r="J152" s="28">
        <v>8.1999999999999993</v>
      </c>
      <c r="K152" s="27" t="s">
        <v>570</v>
      </c>
      <c r="L152" s="27">
        <v>7</v>
      </c>
      <c r="M152" s="27">
        <v>3.27</v>
      </c>
      <c r="N152" s="1" t="s">
        <v>594</v>
      </c>
      <c r="O152" s="27">
        <v>64518.14</v>
      </c>
    </row>
    <row r="153" spans="1:15">
      <c r="A153" s="27" t="s">
        <v>254</v>
      </c>
      <c r="B153" s="27">
        <v>61</v>
      </c>
      <c r="C153" s="27" t="s">
        <v>542</v>
      </c>
      <c r="D153" s="27" t="s">
        <v>555</v>
      </c>
      <c r="E153" s="27">
        <v>2024</v>
      </c>
      <c r="F153" s="28">
        <v>1.8</v>
      </c>
      <c r="G153" s="27">
        <v>9</v>
      </c>
      <c r="H153" s="28">
        <v>8</v>
      </c>
      <c r="I153" s="28">
        <v>3.2</v>
      </c>
      <c r="J153" s="28">
        <v>4.7</v>
      </c>
      <c r="K153" s="27" t="s">
        <v>573</v>
      </c>
      <c r="L153" s="27">
        <v>6</v>
      </c>
      <c r="M153" s="27">
        <v>5.65</v>
      </c>
      <c r="N153" s="1" t="s">
        <v>592</v>
      </c>
      <c r="O153" s="27">
        <v>18314.259999999998</v>
      </c>
    </row>
    <row r="154" spans="1:15">
      <c r="A154" s="27" t="s">
        <v>397</v>
      </c>
      <c r="B154" s="27">
        <v>39</v>
      </c>
      <c r="C154" s="27" t="s">
        <v>543</v>
      </c>
      <c r="D154" s="27" t="s">
        <v>549</v>
      </c>
      <c r="E154" s="27">
        <v>2022</v>
      </c>
      <c r="F154" s="28">
        <v>9.9</v>
      </c>
      <c r="G154" s="27">
        <v>5.2</v>
      </c>
      <c r="H154" s="28">
        <v>4.3</v>
      </c>
      <c r="I154" s="28">
        <v>4</v>
      </c>
      <c r="J154" s="28">
        <v>5.4</v>
      </c>
      <c r="K154" s="27" t="s">
        <v>546</v>
      </c>
      <c r="L154" s="27">
        <v>5</v>
      </c>
      <c r="M154" s="27">
        <v>4.76</v>
      </c>
      <c r="N154" s="1" t="s">
        <v>592</v>
      </c>
      <c r="O154" s="27">
        <v>99283.8</v>
      </c>
    </row>
    <row r="155" spans="1:15">
      <c r="A155" s="27" t="s">
        <v>526</v>
      </c>
      <c r="B155" s="27">
        <v>28</v>
      </c>
      <c r="C155" s="27" t="s">
        <v>546</v>
      </c>
      <c r="D155" s="27" t="s">
        <v>549</v>
      </c>
      <c r="E155" s="27">
        <v>2024</v>
      </c>
      <c r="F155" s="28">
        <v>4.5</v>
      </c>
      <c r="G155" s="27">
        <v>3.7</v>
      </c>
      <c r="H155" s="28">
        <v>1.4</v>
      </c>
      <c r="I155" s="28">
        <v>7</v>
      </c>
      <c r="J155" s="28">
        <v>7.7</v>
      </c>
      <c r="K155" s="27" t="s">
        <v>570</v>
      </c>
      <c r="L155" s="27">
        <v>6</v>
      </c>
      <c r="M155" s="27">
        <v>4.93</v>
      </c>
      <c r="N155" s="1" t="s">
        <v>592</v>
      </c>
      <c r="O155" s="27">
        <v>45451.47</v>
      </c>
    </row>
    <row r="156" spans="1:15">
      <c r="A156" s="27" t="s">
        <v>498</v>
      </c>
      <c r="B156" s="27">
        <v>63</v>
      </c>
      <c r="C156" s="27" t="s">
        <v>542</v>
      </c>
      <c r="D156" s="27" t="s">
        <v>550</v>
      </c>
      <c r="E156" s="27">
        <v>2024</v>
      </c>
      <c r="F156" s="28">
        <v>3.2</v>
      </c>
      <c r="G156" s="27">
        <v>5.6</v>
      </c>
      <c r="H156" s="28">
        <v>7.2</v>
      </c>
      <c r="I156" s="28">
        <v>2.2999999999999998</v>
      </c>
      <c r="J156" s="28">
        <v>4.0999999999999996</v>
      </c>
      <c r="K156" s="27" t="s">
        <v>570</v>
      </c>
      <c r="L156" s="27">
        <v>6</v>
      </c>
      <c r="M156" s="27">
        <v>5.2</v>
      </c>
      <c r="N156" s="1" t="s">
        <v>592</v>
      </c>
      <c r="O156" s="27">
        <v>11727.34</v>
      </c>
    </row>
    <row r="157" spans="1:15">
      <c r="A157" s="27" t="s">
        <v>618</v>
      </c>
      <c r="B157" s="27">
        <v>89</v>
      </c>
      <c r="C157" s="27" t="s">
        <v>541</v>
      </c>
      <c r="D157" s="27" t="s">
        <v>554</v>
      </c>
      <c r="E157" s="27">
        <v>2023</v>
      </c>
      <c r="F157" s="28">
        <v>3.9</v>
      </c>
      <c r="G157" s="27">
        <v>4.4000000000000004</v>
      </c>
      <c r="H157" s="28">
        <v>3.8</v>
      </c>
      <c r="I157" s="28">
        <v>7.6</v>
      </c>
      <c r="J157" s="28">
        <v>1.9</v>
      </c>
      <c r="K157" s="27" t="s">
        <v>570</v>
      </c>
      <c r="L157" s="27">
        <v>5</v>
      </c>
      <c r="M157" s="27">
        <v>4.95</v>
      </c>
      <c r="N157" s="1" t="s">
        <v>592</v>
      </c>
      <c r="O157" s="27">
        <v>46685.3</v>
      </c>
    </row>
    <row r="158" spans="1:15">
      <c r="A158" s="27" t="s">
        <v>294</v>
      </c>
      <c r="B158" s="27">
        <v>77</v>
      </c>
      <c r="C158" s="27" t="s">
        <v>542</v>
      </c>
      <c r="D158" s="27" t="s">
        <v>555</v>
      </c>
      <c r="E158" s="27">
        <v>2024</v>
      </c>
      <c r="F158" s="28">
        <v>6.7</v>
      </c>
      <c r="G158" s="27">
        <v>5.2</v>
      </c>
      <c r="H158" s="28">
        <v>2.7</v>
      </c>
      <c r="I158" s="28">
        <v>2.1</v>
      </c>
      <c r="J158" s="28">
        <v>3.8</v>
      </c>
      <c r="K158" s="27" t="s">
        <v>572</v>
      </c>
      <c r="L158" s="27">
        <v>8</v>
      </c>
      <c r="M158" s="27">
        <v>3.41</v>
      </c>
      <c r="N158" s="1" t="s">
        <v>594</v>
      </c>
      <c r="O158" s="27">
        <v>95826.92</v>
      </c>
    </row>
    <row r="159" spans="1:15">
      <c r="A159" s="27" t="s">
        <v>94</v>
      </c>
      <c r="B159" s="27">
        <v>71</v>
      </c>
      <c r="C159" s="27" t="s">
        <v>543</v>
      </c>
      <c r="D159" s="27" t="s">
        <v>551</v>
      </c>
      <c r="E159" s="27">
        <v>2022</v>
      </c>
      <c r="F159" s="28">
        <v>4.0999999999999996</v>
      </c>
      <c r="G159" s="27">
        <v>5.5</v>
      </c>
      <c r="H159" s="28">
        <v>8.6999999999999993</v>
      </c>
      <c r="I159" s="28">
        <v>0.9</v>
      </c>
      <c r="J159" s="28">
        <v>7.4</v>
      </c>
      <c r="K159" s="27" t="s">
        <v>573</v>
      </c>
      <c r="L159" s="27">
        <v>5</v>
      </c>
      <c r="M159" s="27">
        <v>5.34</v>
      </c>
      <c r="N159" s="1" t="s">
        <v>592</v>
      </c>
      <c r="O159" s="27">
        <v>26259.96</v>
      </c>
    </row>
    <row r="160" spans="1:15">
      <c r="A160" s="27" t="s">
        <v>160</v>
      </c>
      <c r="B160" s="27">
        <v>44</v>
      </c>
      <c r="C160" s="27" t="s">
        <v>543</v>
      </c>
      <c r="D160" s="27" t="s">
        <v>555</v>
      </c>
      <c r="E160" s="27">
        <v>2024</v>
      </c>
      <c r="F160" s="28">
        <v>7.1</v>
      </c>
      <c r="G160" s="27">
        <v>0.9</v>
      </c>
      <c r="H160" s="28">
        <v>0.5</v>
      </c>
      <c r="I160" s="28">
        <v>9.4</v>
      </c>
      <c r="J160" s="28">
        <v>1</v>
      </c>
      <c r="K160" s="27" t="s">
        <v>579</v>
      </c>
      <c r="L160" s="27">
        <v>6</v>
      </c>
      <c r="M160" s="27">
        <v>5.47</v>
      </c>
      <c r="N160" s="1" t="s">
        <v>592</v>
      </c>
      <c r="O160" s="27">
        <v>27511.3</v>
      </c>
    </row>
    <row r="161" spans="1:15">
      <c r="A161" s="27" t="s">
        <v>25</v>
      </c>
      <c r="B161" s="27">
        <v>43</v>
      </c>
      <c r="C161" s="27" t="s">
        <v>542</v>
      </c>
      <c r="D161" s="27" t="s">
        <v>555</v>
      </c>
      <c r="E161" s="27">
        <v>2024</v>
      </c>
      <c r="F161" s="28">
        <v>4.3</v>
      </c>
      <c r="G161" s="27">
        <v>5.7</v>
      </c>
      <c r="H161" s="28">
        <v>3.7</v>
      </c>
      <c r="I161" s="28">
        <v>7.8</v>
      </c>
      <c r="J161" s="28">
        <v>7.4</v>
      </c>
      <c r="K161" s="27" t="s">
        <v>576</v>
      </c>
      <c r="L161" s="27">
        <v>6</v>
      </c>
      <c r="M161" s="27">
        <v>5.79</v>
      </c>
      <c r="N161" s="1" t="s">
        <v>592</v>
      </c>
      <c r="O161" s="27">
        <v>38916.720000000001</v>
      </c>
    </row>
    <row r="162" spans="1:15">
      <c r="A162" s="27" t="s">
        <v>13</v>
      </c>
      <c r="B162" s="27">
        <v>37</v>
      </c>
      <c r="C162" s="27" t="s">
        <v>541</v>
      </c>
      <c r="D162" s="27" t="s">
        <v>549</v>
      </c>
      <c r="E162" s="27">
        <v>2024</v>
      </c>
      <c r="F162" s="28">
        <v>4.3</v>
      </c>
      <c r="G162" s="27">
        <v>0.8</v>
      </c>
      <c r="H162" s="28">
        <v>6.3</v>
      </c>
      <c r="I162" s="28">
        <v>6.2</v>
      </c>
      <c r="J162" s="28">
        <v>8.9</v>
      </c>
      <c r="K162" s="27" t="s">
        <v>573</v>
      </c>
      <c r="L162" s="27">
        <v>2</v>
      </c>
      <c r="M162" s="27">
        <v>27.25</v>
      </c>
      <c r="N162" s="1" t="s">
        <v>591</v>
      </c>
      <c r="O162" s="27">
        <v>20268.05</v>
      </c>
    </row>
    <row r="163" spans="1:15">
      <c r="A163" s="27" t="s">
        <v>48</v>
      </c>
      <c r="B163" s="27">
        <v>23</v>
      </c>
      <c r="C163" s="27" t="s">
        <v>541</v>
      </c>
      <c r="D163" s="27" t="s">
        <v>549</v>
      </c>
      <c r="E163" s="27">
        <v>2022</v>
      </c>
      <c r="F163" s="28">
        <v>3.4</v>
      </c>
      <c r="G163" s="27">
        <v>8.1</v>
      </c>
      <c r="H163" s="28">
        <v>3.1</v>
      </c>
      <c r="I163" s="28">
        <v>10</v>
      </c>
      <c r="J163" s="28">
        <v>3.6</v>
      </c>
      <c r="K163" s="27" t="s">
        <v>576</v>
      </c>
      <c r="L163" s="27">
        <v>6</v>
      </c>
      <c r="M163" s="27">
        <v>5.83</v>
      </c>
      <c r="N163" s="1" t="s">
        <v>592</v>
      </c>
      <c r="O163" s="27">
        <v>44414.54</v>
      </c>
    </row>
    <row r="164" spans="1:15">
      <c r="A164" s="27" t="s">
        <v>166</v>
      </c>
      <c r="B164" s="27">
        <v>48</v>
      </c>
      <c r="C164" s="27" t="s">
        <v>542</v>
      </c>
      <c r="D164" s="27" t="s">
        <v>551</v>
      </c>
      <c r="E164" s="27">
        <v>2024</v>
      </c>
      <c r="F164" s="28">
        <v>0.4</v>
      </c>
      <c r="G164" s="27">
        <v>5.4</v>
      </c>
      <c r="H164" s="28">
        <v>1.1000000000000001</v>
      </c>
      <c r="I164" s="28">
        <v>4.2</v>
      </c>
      <c r="J164" s="28">
        <v>5</v>
      </c>
      <c r="K164" s="27" t="s">
        <v>576</v>
      </c>
      <c r="L164" s="27">
        <v>5</v>
      </c>
      <c r="M164" s="27">
        <v>4.05</v>
      </c>
      <c r="N164" s="1" t="s">
        <v>592</v>
      </c>
      <c r="O164" s="27">
        <v>17401.060000000001</v>
      </c>
    </row>
    <row r="165" spans="1:15">
      <c r="A165" s="27" t="s">
        <v>124</v>
      </c>
      <c r="B165" s="27">
        <v>41</v>
      </c>
      <c r="C165" s="27" t="s">
        <v>543</v>
      </c>
      <c r="D165" s="27" t="s">
        <v>554</v>
      </c>
      <c r="E165" s="27">
        <v>2023</v>
      </c>
      <c r="F165" s="28">
        <v>4.8</v>
      </c>
      <c r="G165" s="27">
        <v>9.8000000000000007</v>
      </c>
      <c r="H165" s="28">
        <v>4.8</v>
      </c>
      <c r="I165" s="28">
        <v>1.8</v>
      </c>
      <c r="J165" s="28">
        <v>5.5</v>
      </c>
      <c r="K165" s="27" t="s">
        <v>546</v>
      </c>
      <c r="L165" s="27">
        <v>6</v>
      </c>
      <c r="M165" s="27">
        <v>5.21</v>
      </c>
      <c r="N165" s="1" t="s">
        <v>592</v>
      </c>
      <c r="O165" s="27">
        <v>42320.34</v>
      </c>
    </row>
    <row r="166" spans="1:15">
      <c r="A166" s="27" t="s">
        <v>79</v>
      </c>
      <c r="B166" s="27">
        <v>60</v>
      </c>
      <c r="C166" s="27" t="s">
        <v>542</v>
      </c>
      <c r="D166" s="27" t="s">
        <v>672</v>
      </c>
      <c r="E166" s="27">
        <v>2022</v>
      </c>
      <c r="F166" s="28">
        <v>3.3</v>
      </c>
      <c r="G166" s="27">
        <v>4.8</v>
      </c>
      <c r="H166" s="28">
        <v>5</v>
      </c>
      <c r="I166" s="28">
        <v>8.4</v>
      </c>
      <c r="J166" s="28">
        <v>6.8</v>
      </c>
      <c r="K166" s="27" t="s">
        <v>571</v>
      </c>
      <c r="L166" s="27">
        <v>5</v>
      </c>
      <c r="M166" s="27">
        <v>5.95</v>
      </c>
      <c r="N166" s="1" t="s">
        <v>592</v>
      </c>
      <c r="O166" s="27">
        <v>26869.3</v>
      </c>
    </row>
    <row r="167" spans="1:15">
      <c r="A167" s="27" t="s">
        <v>213</v>
      </c>
      <c r="B167" s="27">
        <v>85</v>
      </c>
      <c r="C167" s="27" t="s">
        <v>542</v>
      </c>
      <c r="D167" s="27" t="s">
        <v>549</v>
      </c>
      <c r="E167" s="27">
        <v>2022</v>
      </c>
      <c r="F167" s="28">
        <v>5.8</v>
      </c>
      <c r="G167" s="27">
        <v>5.0999999999999996</v>
      </c>
      <c r="H167" s="28">
        <v>3.3</v>
      </c>
      <c r="I167" s="28">
        <v>2.8</v>
      </c>
      <c r="J167" s="28">
        <v>0.3</v>
      </c>
      <c r="K167" s="27" t="s">
        <v>574</v>
      </c>
      <c r="L167" s="27">
        <v>5</v>
      </c>
      <c r="M167" s="27">
        <v>4.4000000000000004</v>
      </c>
      <c r="N167" s="1" t="s">
        <v>592</v>
      </c>
      <c r="O167" s="27">
        <v>30473.040000000001</v>
      </c>
    </row>
    <row r="168" spans="1:15">
      <c r="A168" s="27" t="s">
        <v>204</v>
      </c>
      <c r="B168" s="27">
        <v>31</v>
      </c>
      <c r="C168" s="27" t="s">
        <v>542</v>
      </c>
      <c r="D168" s="27" t="s">
        <v>672</v>
      </c>
      <c r="E168" s="27">
        <v>2024</v>
      </c>
      <c r="F168" s="28">
        <v>6.4</v>
      </c>
      <c r="G168" s="27">
        <v>1.6</v>
      </c>
      <c r="H168" s="28">
        <v>9.6999999999999993</v>
      </c>
      <c r="I168" s="28">
        <v>5.0999999999999996</v>
      </c>
      <c r="J168" s="28">
        <v>0.7</v>
      </c>
      <c r="K168" s="27" t="s">
        <v>578</v>
      </c>
      <c r="L168" s="27">
        <v>5</v>
      </c>
      <c r="M168" s="27">
        <v>5.74</v>
      </c>
      <c r="N168" s="1" t="s">
        <v>592</v>
      </c>
      <c r="O168" s="27">
        <v>16222</v>
      </c>
    </row>
    <row r="169" spans="1:15">
      <c r="A169" s="27" t="s">
        <v>415</v>
      </c>
      <c r="B169" s="27">
        <v>56</v>
      </c>
      <c r="C169" s="27" t="s">
        <v>546</v>
      </c>
      <c r="D169" s="27" t="s">
        <v>550</v>
      </c>
      <c r="E169" s="27">
        <v>2023</v>
      </c>
      <c r="F169" s="28">
        <v>5.5</v>
      </c>
      <c r="G169" s="27">
        <v>6.6</v>
      </c>
      <c r="H169" s="28">
        <v>3.5</v>
      </c>
      <c r="I169" s="28">
        <v>0.4</v>
      </c>
      <c r="J169" s="28">
        <v>6.2</v>
      </c>
      <c r="K169" s="27" t="s">
        <v>578</v>
      </c>
      <c r="L169" s="27">
        <v>8</v>
      </c>
      <c r="M169" s="27">
        <v>3.57</v>
      </c>
      <c r="N169" s="1" t="s">
        <v>594</v>
      </c>
      <c r="O169" s="27">
        <v>87146.4</v>
      </c>
    </row>
    <row r="170" spans="1:15">
      <c r="A170" s="27" t="s">
        <v>389</v>
      </c>
      <c r="B170" s="27">
        <v>46</v>
      </c>
      <c r="C170" s="27" t="s">
        <v>541</v>
      </c>
      <c r="D170" s="27" t="s">
        <v>549</v>
      </c>
      <c r="E170" s="27">
        <v>2023</v>
      </c>
      <c r="F170" s="28">
        <v>2.9</v>
      </c>
      <c r="G170" s="27">
        <v>4.3</v>
      </c>
      <c r="H170" s="28">
        <v>4.9025210084033617</v>
      </c>
      <c r="I170" s="28">
        <v>2.7</v>
      </c>
      <c r="J170" s="28">
        <v>7.6</v>
      </c>
      <c r="K170" s="27" t="s">
        <v>573</v>
      </c>
      <c r="L170" s="27">
        <v>5</v>
      </c>
      <c r="M170" s="27">
        <v>4.46</v>
      </c>
      <c r="N170" s="1" t="s">
        <v>592</v>
      </c>
      <c r="O170" s="27">
        <v>57978.23</v>
      </c>
    </row>
    <row r="171" spans="1:15">
      <c r="A171" s="27" t="s">
        <v>104</v>
      </c>
      <c r="B171" s="27">
        <v>76</v>
      </c>
      <c r="C171" s="27" t="s">
        <v>542</v>
      </c>
      <c r="D171" s="27" t="s">
        <v>552</v>
      </c>
      <c r="E171" s="27">
        <v>2023</v>
      </c>
      <c r="F171" s="28">
        <v>3.8</v>
      </c>
      <c r="G171" s="27">
        <v>7</v>
      </c>
      <c r="H171" s="28">
        <v>7.4</v>
      </c>
      <c r="I171" s="28">
        <v>1.1000000000000001</v>
      </c>
      <c r="J171" s="28">
        <v>8</v>
      </c>
      <c r="K171" s="27" t="s">
        <v>574</v>
      </c>
      <c r="L171" s="27">
        <v>6</v>
      </c>
      <c r="M171" s="27">
        <v>4.01</v>
      </c>
      <c r="N171" s="1" t="s">
        <v>592</v>
      </c>
      <c r="O171" s="27">
        <v>96335.54</v>
      </c>
    </row>
    <row r="172" spans="1:15">
      <c r="A172" s="27" t="s">
        <v>450</v>
      </c>
      <c r="B172" s="27">
        <v>26</v>
      </c>
      <c r="C172" s="27" t="s">
        <v>546</v>
      </c>
      <c r="D172" s="27" t="s">
        <v>554</v>
      </c>
      <c r="E172" s="27">
        <v>2022</v>
      </c>
      <c r="F172" s="28">
        <v>1.6</v>
      </c>
      <c r="G172" s="27">
        <v>9.6999999999999993</v>
      </c>
      <c r="H172" s="28">
        <v>0.9</v>
      </c>
      <c r="I172" s="28">
        <v>7.1</v>
      </c>
      <c r="J172" s="28">
        <v>4</v>
      </c>
      <c r="K172" s="27" t="s">
        <v>572</v>
      </c>
      <c r="L172" s="27">
        <v>5</v>
      </c>
      <c r="M172" s="27">
        <v>5.07</v>
      </c>
      <c r="N172" s="1" t="s">
        <v>592</v>
      </c>
      <c r="O172" s="27">
        <v>32975.019999999997</v>
      </c>
    </row>
    <row r="173" spans="1:15">
      <c r="A173" s="27" t="s">
        <v>442</v>
      </c>
      <c r="B173" s="27">
        <v>81</v>
      </c>
      <c r="C173" s="27" t="s">
        <v>542</v>
      </c>
      <c r="D173" s="27" t="s">
        <v>672</v>
      </c>
      <c r="E173" s="27">
        <v>2023</v>
      </c>
      <c r="F173" s="28">
        <v>7</v>
      </c>
      <c r="G173" s="27">
        <v>2.9</v>
      </c>
      <c r="H173" s="28">
        <v>6.9</v>
      </c>
      <c r="I173" s="28">
        <v>2.7</v>
      </c>
      <c r="J173" s="28">
        <v>9.3000000000000007</v>
      </c>
      <c r="K173" s="27" t="s">
        <v>546</v>
      </c>
      <c r="L173" s="27">
        <v>6</v>
      </c>
      <c r="M173" s="27">
        <v>5.96</v>
      </c>
      <c r="N173" s="1" t="s">
        <v>592</v>
      </c>
      <c r="O173" s="27">
        <v>19068.84</v>
      </c>
    </row>
    <row r="174" spans="1:15">
      <c r="A174" s="27" t="s">
        <v>151</v>
      </c>
      <c r="B174" s="27">
        <v>52</v>
      </c>
      <c r="C174" s="27" t="s">
        <v>543</v>
      </c>
      <c r="D174" s="27" t="s">
        <v>550</v>
      </c>
      <c r="E174" s="27">
        <v>2024</v>
      </c>
      <c r="F174" s="28">
        <v>7.4</v>
      </c>
      <c r="G174" s="27">
        <v>4</v>
      </c>
      <c r="H174" s="28">
        <v>7.8</v>
      </c>
      <c r="I174" s="28">
        <v>0.3</v>
      </c>
      <c r="J174" s="28">
        <v>4.4000000000000004</v>
      </c>
      <c r="K174" s="27" t="s">
        <v>579</v>
      </c>
      <c r="L174" s="27">
        <v>5</v>
      </c>
      <c r="M174" s="27">
        <v>5.16</v>
      </c>
      <c r="N174" s="1" t="s">
        <v>592</v>
      </c>
      <c r="O174" s="27">
        <v>29500.36</v>
      </c>
    </row>
    <row r="175" spans="1:15">
      <c r="A175" s="27" t="s">
        <v>250</v>
      </c>
      <c r="B175" s="27">
        <v>71</v>
      </c>
      <c r="C175" s="27" t="s">
        <v>543</v>
      </c>
      <c r="D175" s="27" t="s">
        <v>551</v>
      </c>
      <c r="E175" s="27">
        <v>2024</v>
      </c>
      <c r="F175" s="28">
        <v>8.3000000000000007</v>
      </c>
      <c r="G175" s="27">
        <v>1.2</v>
      </c>
      <c r="H175" s="28">
        <v>3.7</v>
      </c>
      <c r="I175" s="28">
        <v>5.3</v>
      </c>
      <c r="J175" s="28">
        <v>4.5999999999999996</v>
      </c>
      <c r="K175" s="27" t="s">
        <v>578</v>
      </c>
      <c r="L175" s="27">
        <v>5</v>
      </c>
      <c r="M175" s="27">
        <v>5.34</v>
      </c>
      <c r="N175" s="1" t="s">
        <v>592</v>
      </c>
      <c r="O175" s="27">
        <v>28675.1</v>
      </c>
    </row>
    <row r="176" spans="1:15">
      <c r="A176" s="27" t="s">
        <v>304</v>
      </c>
      <c r="B176" s="27">
        <v>64</v>
      </c>
      <c r="C176" s="27" t="s">
        <v>541</v>
      </c>
      <c r="D176" s="27" t="s">
        <v>553</v>
      </c>
      <c r="E176" s="27">
        <v>2024</v>
      </c>
      <c r="F176" s="28">
        <v>8.1</v>
      </c>
      <c r="G176" s="27">
        <v>7.1</v>
      </c>
      <c r="H176" s="28">
        <v>1.1000000000000001</v>
      </c>
      <c r="I176" s="28">
        <v>0.4</v>
      </c>
      <c r="J176" s="28">
        <v>8.1999999999999993</v>
      </c>
      <c r="K176" s="27" t="s">
        <v>571</v>
      </c>
      <c r="L176" s="27">
        <v>5</v>
      </c>
      <c r="M176" s="27">
        <v>5.15</v>
      </c>
      <c r="N176" s="1" t="s">
        <v>592</v>
      </c>
      <c r="O176" s="27">
        <v>30018.17</v>
      </c>
    </row>
    <row r="177" spans="1:15">
      <c r="A177" s="27" t="s">
        <v>356</v>
      </c>
      <c r="B177" s="27">
        <v>83</v>
      </c>
      <c r="C177" s="27" t="s">
        <v>542</v>
      </c>
      <c r="D177" s="27" t="s">
        <v>672</v>
      </c>
      <c r="E177" s="27">
        <v>2022</v>
      </c>
      <c r="F177" s="28">
        <v>5.5</v>
      </c>
      <c r="G177" s="27">
        <v>0.6</v>
      </c>
      <c r="H177" s="28">
        <v>6.5</v>
      </c>
      <c r="I177" s="28">
        <v>3.3</v>
      </c>
      <c r="J177" s="28">
        <v>3.9</v>
      </c>
      <c r="K177" s="27" t="s">
        <v>574</v>
      </c>
      <c r="L177" s="27">
        <v>8</v>
      </c>
      <c r="M177" s="27">
        <v>3.56</v>
      </c>
      <c r="N177" s="1" t="s">
        <v>594</v>
      </c>
      <c r="O177" s="27">
        <v>82787.94</v>
      </c>
    </row>
    <row r="178" spans="1:15">
      <c r="A178" s="27" t="s">
        <v>283</v>
      </c>
      <c r="B178" s="27">
        <v>21</v>
      </c>
      <c r="C178" s="27" t="s">
        <v>543</v>
      </c>
      <c r="D178" s="27" t="s">
        <v>672</v>
      </c>
      <c r="E178" s="27">
        <v>2023</v>
      </c>
      <c r="F178" s="28">
        <v>9</v>
      </c>
      <c r="G178" s="27">
        <v>2.5</v>
      </c>
      <c r="H178" s="28">
        <v>1.5</v>
      </c>
      <c r="I178" s="28">
        <v>1.3</v>
      </c>
      <c r="J178" s="28">
        <v>7.3</v>
      </c>
      <c r="K178" s="27" t="s">
        <v>572</v>
      </c>
      <c r="L178" s="27">
        <v>1</v>
      </c>
      <c r="M178" s="27">
        <v>22.68</v>
      </c>
      <c r="N178" s="1" t="s">
        <v>591</v>
      </c>
      <c r="O178" s="27">
        <v>53962.06</v>
      </c>
    </row>
    <row r="179" spans="1:15">
      <c r="A179" s="27" t="s">
        <v>465</v>
      </c>
      <c r="B179" s="27">
        <v>47</v>
      </c>
      <c r="C179" s="27" t="s">
        <v>543</v>
      </c>
      <c r="D179" s="27" t="s">
        <v>552</v>
      </c>
      <c r="E179" s="27">
        <v>2023</v>
      </c>
      <c r="F179" s="28">
        <v>5.9</v>
      </c>
      <c r="G179" s="27">
        <v>1.4</v>
      </c>
      <c r="H179" s="28">
        <v>3.8</v>
      </c>
      <c r="I179" s="28">
        <v>3.4</v>
      </c>
      <c r="J179" s="28">
        <v>0.7</v>
      </c>
      <c r="K179" s="27" t="s">
        <v>579</v>
      </c>
      <c r="L179" s="27">
        <v>8</v>
      </c>
      <c r="M179" s="27">
        <v>2.97</v>
      </c>
      <c r="N179" s="1" t="s">
        <v>594</v>
      </c>
      <c r="O179" s="27">
        <v>86975.82</v>
      </c>
    </row>
    <row r="180" spans="1:15">
      <c r="A180" s="27" t="s">
        <v>464</v>
      </c>
      <c r="B180" s="27">
        <v>61</v>
      </c>
      <c r="C180" s="27" t="s">
        <v>542</v>
      </c>
      <c r="D180" s="27" t="s">
        <v>550</v>
      </c>
      <c r="E180" s="27">
        <v>2022</v>
      </c>
      <c r="F180" s="28">
        <v>5.7</v>
      </c>
      <c r="G180" s="27">
        <v>6.3</v>
      </c>
      <c r="H180" s="28">
        <v>3.9</v>
      </c>
      <c r="I180" s="28">
        <v>9.8000000000000007</v>
      </c>
      <c r="J180" s="28">
        <v>1.7</v>
      </c>
      <c r="K180" s="27" t="s">
        <v>576</v>
      </c>
      <c r="L180" s="27">
        <v>6</v>
      </c>
      <c r="M180" s="27">
        <v>5.69</v>
      </c>
      <c r="N180" s="1" t="s">
        <v>592</v>
      </c>
      <c r="O180" s="27">
        <v>55287.44</v>
      </c>
    </row>
    <row r="181" spans="1:15">
      <c r="A181" s="27" t="s">
        <v>382</v>
      </c>
      <c r="B181" s="27">
        <v>52</v>
      </c>
      <c r="C181" s="27" t="s">
        <v>543</v>
      </c>
      <c r="D181" s="27" t="s">
        <v>556</v>
      </c>
      <c r="E181" s="27">
        <v>2023</v>
      </c>
      <c r="F181" s="28">
        <v>6.2</v>
      </c>
      <c r="G181" s="27">
        <v>3.6</v>
      </c>
      <c r="H181" s="28">
        <v>4.8</v>
      </c>
      <c r="I181" s="28">
        <v>3.8</v>
      </c>
      <c r="J181" s="28">
        <v>9.1999999999999993</v>
      </c>
      <c r="K181" s="27" t="s">
        <v>578</v>
      </c>
      <c r="L181" s="27">
        <v>6</v>
      </c>
      <c r="M181" s="27">
        <v>5.87</v>
      </c>
      <c r="N181" s="1" t="s">
        <v>592</v>
      </c>
      <c r="O181" s="27">
        <v>15261.8</v>
      </c>
    </row>
    <row r="182" spans="1:15">
      <c r="A182" s="27" t="s">
        <v>466</v>
      </c>
      <c r="B182" s="27">
        <v>50</v>
      </c>
      <c r="C182" s="27" t="s">
        <v>541</v>
      </c>
      <c r="D182" s="27" t="s">
        <v>552</v>
      </c>
      <c r="E182" s="27">
        <v>2023</v>
      </c>
      <c r="F182" s="28">
        <v>2.6</v>
      </c>
      <c r="G182" s="27">
        <v>4.0999999999999996</v>
      </c>
      <c r="H182" s="28">
        <v>6.5</v>
      </c>
      <c r="I182" s="28">
        <v>1.1000000000000001</v>
      </c>
      <c r="J182" s="28">
        <v>5.6</v>
      </c>
      <c r="K182" s="27" t="s">
        <v>573</v>
      </c>
      <c r="L182" s="27">
        <v>6</v>
      </c>
      <c r="M182" s="27">
        <v>4.5999999999999996</v>
      </c>
      <c r="N182" s="1" t="s">
        <v>592</v>
      </c>
      <c r="O182" s="27">
        <v>14732.85</v>
      </c>
    </row>
    <row r="183" spans="1:15">
      <c r="A183" s="27" t="s">
        <v>446</v>
      </c>
      <c r="B183" s="27">
        <v>20</v>
      </c>
      <c r="C183" s="27" t="s">
        <v>543</v>
      </c>
      <c r="D183" s="27" t="s">
        <v>554</v>
      </c>
      <c r="E183" s="27">
        <v>2022</v>
      </c>
      <c r="F183" s="28">
        <v>5.0999999999999996</v>
      </c>
      <c r="G183" s="27">
        <v>5</v>
      </c>
      <c r="H183" s="28">
        <v>1.3</v>
      </c>
      <c r="I183" s="28">
        <v>4.2</v>
      </c>
      <c r="J183" s="28">
        <v>9.1999999999999993</v>
      </c>
      <c r="K183" s="27" t="s">
        <v>579</v>
      </c>
      <c r="L183" s="27">
        <v>5</v>
      </c>
      <c r="M183" s="27">
        <v>4.92</v>
      </c>
      <c r="N183" s="1" t="s">
        <v>592</v>
      </c>
      <c r="O183" s="27">
        <v>55279.77</v>
      </c>
    </row>
    <row r="184" spans="1:15">
      <c r="A184" s="27" t="s">
        <v>286</v>
      </c>
      <c r="B184" s="27">
        <v>87</v>
      </c>
      <c r="C184" s="27" t="s">
        <v>542</v>
      </c>
      <c r="D184" s="27" t="s">
        <v>551</v>
      </c>
      <c r="E184" s="27">
        <v>2023</v>
      </c>
      <c r="F184" s="28">
        <v>4.8</v>
      </c>
      <c r="G184" s="27">
        <v>6.6</v>
      </c>
      <c r="H184" s="28">
        <v>1.2</v>
      </c>
      <c r="I184" s="28">
        <v>6.1</v>
      </c>
      <c r="J184" s="28">
        <v>4.7</v>
      </c>
      <c r="K184" s="27" t="s">
        <v>570</v>
      </c>
      <c r="L184" s="27">
        <v>5</v>
      </c>
      <c r="M184" s="27">
        <v>5.51</v>
      </c>
      <c r="N184" s="1" t="s">
        <v>592</v>
      </c>
      <c r="O184" s="27">
        <v>15605.98</v>
      </c>
    </row>
    <row r="185" spans="1:15">
      <c r="A185" s="27" t="s">
        <v>34</v>
      </c>
      <c r="B185" s="27">
        <v>62</v>
      </c>
      <c r="C185" s="27" t="s">
        <v>543</v>
      </c>
      <c r="D185" s="27" t="s">
        <v>552</v>
      </c>
      <c r="E185" s="27">
        <v>2022</v>
      </c>
      <c r="F185" s="28">
        <v>2.6</v>
      </c>
      <c r="G185" s="27">
        <v>9</v>
      </c>
      <c r="H185" s="28">
        <v>7.5</v>
      </c>
      <c r="I185" s="28">
        <v>5.4</v>
      </c>
      <c r="J185" s="28">
        <v>9.6999999999999993</v>
      </c>
      <c r="K185" s="27" t="s">
        <v>578</v>
      </c>
      <c r="L185" s="27">
        <v>3</v>
      </c>
      <c r="M185" s="27">
        <v>6.39</v>
      </c>
      <c r="N185" s="1" t="s">
        <v>590</v>
      </c>
      <c r="O185" s="27">
        <v>32962.75</v>
      </c>
    </row>
    <row r="186" spans="1:15">
      <c r="A186" s="27" t="s">
        <v>228</v>
      </c>
      <c r="B186" s="27">
        <v>22</v>
      </c>
      <c r="C186" s="27" t="s">
        <v>543</v>
      </c>
      <c r="D186" s="27" t="s">
        <v>556</v>
      </c>
      <c r="E186" s="27">
        <v>2022</v>
      </c>
      <c r="F186" s="28">
        <v>7.3</v>
      </c>
      <c r="G186" s="27">
        <v>3.6</v>
      </c>
      <c r="H186" s="28">
        <v>7.4</v>
      </c>
      <c r="I186" s="28">
        <v>5.5</v>
      </c>
      <c r="J186" s="28">
        <v>1.3</v>
      </c>
      <c r="K186" s="27" t="s">
        <v>574</v>
      </c>
      <c r="L186" s="27">
        <v>6</v>
      </c>
      <c r="M186" s="27">
        <v>5.51</v>
      </c>
      <c r="N186" s="1" t="s">
        <v>592</v>
      </c>
      <c r="O186" s="27">
        <v>41646.71</v>
      </c>
    </row>
    <row r="187" spans="1:15">
      <c r="A187" s="27" t="s">
        <v>233</v>
      </c>
      <c r="B187" s="27">
        <v>82</v>
      </c>
      <c r="C187" s="27" t="s">
        <v>543</v>
      </c>
      <c r="D187" s="27" t="s">
        <v>555</v>
      </c>
      <c r="E187" s="27">
        <v>2024</v>
      </c>
      <c r="F187" s="28">
        <v>4.2</v>
      </c>
      <c r="G187" s="27">
        <v>6.1</v>
      </c>
      <c r="H187" s="28">
        <v>1.4</v>
      </c>
      <c r="I187" s="28">
        <v>1.8</v>
      </c>
      <c r="J187" s="28">
        <v>3.7</v>
      </c>
      <c r="K187" s="27" t="s">
        <v>571</v>
      </c>
      <c r="L187" s="27">
        <v>7</v>
      </c>
      <c r="M187" s="27">
        <v>2.94</v>
      </c>
      <c r="N187" s="1" t="s">
        <v>594</v>
      </c>
      <c r="O187" s="27">
        <v>87569.81</v>
      </c>
    </row>
    <row r="188" spans="1:15">
      <c r="A188" s="27" t="s">
        <v>361</v>
      </c>
      <c r="B188" s="27">
        <v>83</v>
      </c>
      <c r="C188" s="27" t="s">
        <v>542</v>
      </c>
      <c r="D188" s="27" t="s">
        <v>550</v>
      </c>
      <c r="E188" s="27">
        <v>2024</v>
      </c>
      <c r="F188" s="28">
        <v>8.4</v>
      </c>
      <c r="G188" s="27">
        <v>4.3</v>
      </c>
      <c r="H188" s="28">
        <v>3.1</v>
      </c>
      <c r="I188" s="28">
        <v>3.8</v>
      </c>
      <c r="J188" s="28">
        <v>1.4</v>
      </c>
      <c r="K188" s="27" t="s">
        <v>570</v>
      </c>
      <c r="L188" s="27">
        <v>6</v>
      </c>
      <c r="M188" s="27">
        <v>4.17</v>
      </c>
      <c r="N188" s="1" t="s">
        <v>592</v>
      </c>
      <c r="O188" s="27">
        <v>76060.02</v>
      </c>
    </row>
    <row r="189" spans="1:15">
      <c r="A189" s="27" t="s">
        <v>418</v>
      </c>
      <c r="B189" s="27">
        <v>23</v>
      </c>
      <c r="C189" s="27" t="s">
        <v>541</v>
      </c>
      <c r="D189" s="27" t="s">
        <v>551</v>
      </c>
      <c r="E189" s="27">
        <v>2024</v>
      </c>
      <c r="F189" s="28">
        <v>0.7</v>
      </c>
      <c r="G189" s="27">
        <v>3.3</v>
      </c>
      <c r="H189" s="28">
        <v>0.1</v>
      </c>
      <c r="I189" s="28">
        <v>2.2999999999999998</v>
      </c>
      <c r="J189" s="28">
        <v>3.86990291262136</v>
      </c>
      <c r="K189" s="27" t="s">
        <v>572</v>
      </c>
      <c r="L189" s="27">
        <v>7</v>
      </c>
      <c r="M189" s="27">
        <v>2.67</v>
      </c>
      <c r="N189" s="1" t="s">
        <v>594</v>
      </c>
      <c r="O189" s="27">
        <v>48116.31</v>
      </c>
    </row>
    <row r="190" spans="1:15">
      <c r="A190" s="27" t="s">
        <v>355</v>
      </c>
      <c r="B190" s="27">
        <v>60</v>
      </c>
      <c r="C190" s="27" t="s">
        <v>543</v>
      </c>
      <c r="D190" s="27" t="s">
        <v>549</v>
      </c>
      <c r="E190" s="27">
        <v>2023</v>
      </c>
      <c r="F190" s="28">
        <v>0.9</v>
      </c>
      <c r="G190" s="27">
        <v>3.7</v>
      </c>
      <c r="H190" s="28">
        <v>3.6</v>
      </c>
      <c r="I190" s="28">
        <v>1.4</v>
      </c>
      <c r="J190" s="28">
        <v>4.3</v>
      </c>
      <c r="K190" s="27" t="s">
        <v>572</v>
      </c>
      <c r="L190" s="27">
        <v>7</v>
      </c>
      <c r="M190" s="27">
        <v>2.52</v>
      </c>
      <c r="N190" s="1" t="s">
        <v>594</v>
      </c>
      <c r="O190" s="27">
        <v>54124.44</v>
      </c>
    </row>
    <row r="191" spans="1:15">
      <c r="A191" s="27" t="s">
        <v>40</v>
      </c>
      <c r="B191" s="27">
        <v>89</v>
      </c>
      <c r="C191" s="27" t="s">
        <v>543</v>
      </c>
      <c r="D191" s="27" t="s">
        <v>552</v>
      </c>
      <c r="E191" s="27">
        <v>2022</v>
      </c>
      <c r="F191" s="28">
        <v>1.2</v>
      </c>
      <c r="G191" s="27">
        <v>1</v>
      </c>
      <c r="H191" s="28">
        <v>8.1</v>
      </c>
      <c r="I191" s="28">
        <v>4.3</v>
      </c>
      <c r="J191" s="28">
        <v>6.8</v>
      </c>
      <c r="K191" s="27" t="s">
        <v>578</v>
      </c>
      <c r="L191" s="27">
        <v>2</v>
      </c>
      <c r="M191" s="27">
        <v>21.95</v>
      </c>
      <c r="N191" s="1" t="s">
        <v>591</v>
      </c>
      <c r="O191" s="27">
        <v>50944.79</v>
      </c>
    </row>
    <row r="192" spans="1:15">
      <c r="A192" s="27" t="s">
        <v>86</v>
      </c>
      <c r="B192" s="27">
        <v>73</v>
      </c>
      <c r="C192" s="27" t="s">
        <v>542</v>
      </c>
      <c r="D192" s="27" t="s">
        <v>556</v>
      </c>
      <c r="E192" s="27">
        <v>2023</v>
      </c>
      <c r="F192" s="28">
        <v>1.7</v>
      </c>
      <c r="G192" s="27">
        <v>9.6999999999999993</v>
      </c>
      <c r="H192" s="28">
        <v>3.9</v>
      </c>
      <c r="I192" s="28">
        <v>4.7560747663551393</v>
      </c>
      <c r="J192" s="28">
        <v>6.1</v>
      </c>
      <c r="K192" s="27" t="s">
        <v>570</v>
      </c>
      <c r="L192" s="27">
        <v>4</v>
      </c>
      <c r="M192" s="27">
        <v>6.16</v>
      </c>
      <c r="N192" s="1" t="s">
        <v>590</v>
      </c>
      <c r="O192" s="27">
        <v>10731.55</v>
      </c>
    </row>
    <row r="193" spans="1:15">
      <c r="A193" s="27" t="s">
        <v>430</v>
      </c>
      <c r="B193" s="27">
        <v>89</v>
      </c>
      <c r="C193" s="27" t="s">
        <v>546</v>
      </c>
      <c r="D193" s="27" t="s">
        <v>556</v>
      </c>
      <c r="E193" s="27">
        <v>2022</v>
      </c>
      <c r="F193" s="28">
        <v>0.3</v>
      </c>
      <c r="G193" s="27">
        <v>4.2</v>
      </c>
      <c r="H193" s="28">
        <v>0.6</v>
      </c>
      <c r="I193" s="28">
        <v>4.3</v>
      </c>
      <c r="J193" s="28">
        <v>6.6</v>
      </c>
      <c r="K193" s="27" t="s">
        <v>571</v>
      </c>
      <c r="L193" s="27">
        <v>7</v>
      </c>
      <c r="M193" s="27">
        <v>2.82</v>
      </c>
      <c r="N193" s="1" t="s">
        <v>594</v>
      </c>
      <c r="O193" s="27">
        <v>49042</v>
      </c>
    </row>
    <row r="194" spans="1:15">
      <c r="A194" s="27" t="s">
        <v>393</v>
      </c>
      <c r="B194" s="27">
        <v>56</v>
      </c>
      <c r="C194" s="27" t="s">
        <v>543</v>
      </c>
      <c r="D194" s="27" t="s">
        <v>645</v>
      </c>
      <c r="E194" s="27">
        <v>2024</v>
      </c>
      <c r="F194" s="28">
        <v>1.1000000000000001</v>
      </c>
      <c r="G194" s="27">
        <v>1.6</v>
      </c>
      <c r="H194" s="28">
        <v>0.8</v>
      </c>
      <c r="I194" s="28">
        <v>6.3</v>
      </c>
      <c r="J194" s="28">
        <v>7.3</v>
      </c>
      <c r="K194" s="27" t="s">
        <v>576</v>
      </c>
      <c r="L194" s="27">
        <v>7</v>
      </c>
      <c r="M194" s="27">
        <v>3.7</v>
      </c>
      <c r="N194" s="1" t="s">
        <v>594</v>
      </c>
      <c r="O194" s="27">
        <v>43298.92</v>
      </c>
    </row>
    <row r="195" spans="1:15">
      <c r="A195" s="27" t="s">
        <v>232</v>
      </c>
      <c r="B195" s="27">
        <v>80</v>
      </c>
      <c r="C195" s="27" t="s">
        <v>541</v>
      </c>
      <c r="D195" s="27" t="s">
        <v>552</v>
      </c>
      <c r="E195" s="27">
        <v>2024</v>
      </c>
      <c r="F195" s="28">
        <v>0.5</v>
      </c>
      <c r="G195" s="27">
        <v>0.4</v>
      </c>
      <c r="H195" s="28">
        <v>5.2</v>
      </c>
      <c r="I195" s="28">
        <v>5.2099009900990101</v>
      </c>
      <c r="J195" s="28">
        <v>6.6</v>
      </c>
      <c r="K195" s="27" t="s">
        <v>572</v>
      </c>
      <c r="L195" s="27">
        <v>8</v>
      </c>
      <c r="M195" s="27">
        <v>3.28</v>
      </c>
      <c r="N195" s="1" t="s">
        <v>594</v>
      </c>
      <c r="O195" s="27">
        <v>32827.29</v>
      </c>
    </row>
    <row r="196" spans="1:15">
      <c r="A196" s="27" t="s">
        <v>261</v>
      </c>
      <c r="B196" s="27">
        <v>54</v>
      </c>
      <c r="C196" s="27" t="s">
        <v>542</v>
      </c>
      <c r="D196" s="27" t="s">
        <v>553</v>
      </c>
      <c r="E196" s="27">
        <v>2022</v>
      </c>
      <c r="F196" s="28">
        <v>9.6</v>
      </c>
      <c r="G196" s="27">
        <v>1.7</v>
      </c>
      <c r="H196" s="28">
        <v>3.3</v>
      </c>
      <c r="I196" s="28">
        <v>8.5</v>
      </c>
      <c r="J196" s="28">
        <v>6.6</v>
      </c>
      <c r="K196" s="27" t="s">
        <v>546</v>
      </c>
      <c r="L196" s="27">
        <v>5</v>
      </c>
      <c r="M196" s="27">
        <v>5.13</v>
      </c>
      <c r="N196" s="1" t="s">
        <v>592</v>
      </c>
      <c r="O196" s="27">
        <v>95189.39</v>
      </c>
    </row>
    <row r="197" spans="1:15">
      <c r="A197" s="27" t="s">
        <v>141</v>
      </c>
      <c r="B197" s="27">
        <v>45</v>
      </c>
      <c r="C197" s="27" t="s">
        <v>542</v>
      </c>
      <c r="D197" s="27" t="s">
        <v>553</v>
      </c>
      <c r="E197" s="27">
        <v>2024</v>
      </c>
      <c r="F197" s="28">
        <v>6.6</v>
      </c>
      <c r="G197" s="27">
        <v>0.1</v>
      </c>
      <c r="H197" s="28">
        <v>5.9</v>
      </c>
      <c r="I197" s="28">
        <v>9.9</v>
      </c>
      <c r="J197" s="28">
        <v>1</v>
      </c>
      <c r="K197" s="27" t="s">
        <v>579</v>
      </c>
      <c r="L197" s="27">
        <v>6</v>
      </c>
      <c r="M197" s="27">
        <v>5.0599999999999996</v>
      </c>
      <c r="N197" s="1" t="s">
        <v>592</v>
      </c>
      <c r="O197" s="27">
        <v>62010.16</v>
      </c>
    </row>
    <row r="198" spans="1:15">
      <c r="A198" s="27" t="s">
        <v>299</v>
      </c>
      <c r="B198" s="27">
        <v>87</v>
      </c>
      <c r="C198" s="27" t="s">
        <v>543</v>
      </c>
      <c r="D198" s="27" t="s">
        <v>554</v>
      </c>
      <c r="E198" s="27">
        <v>2022</v>
      </c>
      <c r="F198" s="28">
        <v>1.3</v>
      </c>
      <c r="G198" s="27">
        <v>9.1999999999999993</v>
      </c>
      <c r="H198" s="28">
        <v>8.1999999999999993</v>
      </c>
      <c r="I198" s="28">
        <v>2.9</v>
      </c>
      <c r="J198" s="28">
        <v>2.2000000000000002</v>
      </c>
      <c r="K198" s="27" t="s">
        <v>578</v>
      </c>
      <c r="L198" s="27">
        <v>8</v>
      </c>
      <c r="M198" s="27">
        <v>3.74</v>
      </c>
      <c r="N198" s="1" t="s">
        <v>594</v>
      </c>
      <c r="O198" s="27">
        <v>96566.96</v>
      </c>
    </row>
    <row r="199" spans="1:15">
      <c r="A199" s="27" t="s">
        <v>310</v>
      </c>
      <c r="B199" s="27">
        <v>69</v>
      </c>
      <c r="C199" s="27" t="s">
        <v>541</v>
      </c>
      <c r="D199" s="27" t="s">
        <v>556</v>
      </c>
      <c r="E199" s="27">
        <v>2024</v>
      </c>
      <c r="F199" s="28">
        <v>3.5</v>
      </c>
      <c r="G199" s="27">
        <v>1</v>
      </c>
      <c r="H199" s="28">
        <v>7.3</v>
      </c>
      <c r="I199" s="28">
        <v>6.5</v>
      </c>
      <c r="J199" s="28">
        <v>8.3000000000000007</v>
      </c>
      <c r="K199" s="27" t="s">
        <v>576</v>
      </c>
      <c r="L199" s="27">
        <v>6</v>
      </c>
      <c r="M199" s="27">
        <v>5.26</v>
      </c>
      <c r="N199" s="1" t="s">
        <v>592</v>
      </c>
      <c r="O199" s="27">
        <v>40930.519999999997</v>
      </c>
    </row>
    <row r="200" spans="1:15">
      <c r="A200" s="27" t="s">
        <v>379</v>
      </c>
      <c r="B200" s="27">
        <v>35</v>
      </c>
      <c r="C200" s="27" t="s">
        <v>543</v>
      </c>
      <c r="D200" s="27" t="s">
        <v>553</v>
      </c>
      <c r="E200" s="27">
        <v>2022</v>
      </c>
      <c r="F200" s="28">
        <v>8.3000000000000007</v>
      </c>
      <c r="G200" s="27">
        <v>9.8000000000000007</v>
      </c>
      <c r="H200" s="28">
        <v>8.3000000000000007</v>
      </c>
      <c r="I200" s="28">
        <v>8.4</v>
      </c>
      <c r="J200" s="28">
        <v>4.8</v>
      </c>
      <c r="K200" s="27" t="s">
        <v>574</v>
      </c>
      <c r="L200" s="27">
        <v>1</v>
      </c>
      <c r="M200" s="27">
        <v>8.25</v>
      </c>
      <c r="N200" s="1" t="s">
        <v>591</v>
      </c>
      <c r="O200" s="27">
        <v>14037.39</v>
      </c>
    </row>
    <row r="201" spans="1:15">
      <c r="A201" s="27" t="s">
        <v>248</v>
      </c>
      <c r="B201" s="27">
        <v>59</v>
      </c>
      <c r="C201" s="27" t="s">
        <v>542</v>
      </c>
      <c r="D201" s="27" t="s">
        <v>550</v>
      </c>
      <c r="E201" s="27">
        <v>2023</v>
      </c>
      <c r="F201" s="28">
        <v>3.2</v>
      </c>
      <c r="G201" s="27">
        <v>6.2</v>
      </c>
      <c r="H201" s="28">
        <v>5</v>
      </c>
      <c r="I201" s="28">
        <v>4</v>
      </c>
      <c r="J201" s="28">
        <v>5.9</v>
      </c>
      <c r="K201" s="27" t="s">
        <v>579</v>
      </c>
      <c r="L201" s="27">
        <v>6</v>
      </c>
      <c r="M201" s="27">
        <v>4.6100000000000003</v>
      </c>
      <c r="N201" s="1" t="s">
        <v>592</v>
      </c>
      <c r="O201" s="27">
        <v>54997.16</v>
      </c>
    </row>
    <row r="202" spans="1:15">
      <c r="A202" s="27" t="s">
        <v>244</v>
      </c>
      <c r="B202" s="27">
        <v>77</v>
      </c>
      <c r="C202" s="27" t="s">
        <v>542</v>
      </c>
      <c r="D202" s="27" t="s">
        <v>549</v>
      </c>
      <c r="E202" s="27">
        <v>2023</v>
      </c>
      <c r="F202" s="28">
        <v>8.4</v>
      </c>
      <c r="G202" s="27">
        <v>9.8000000000000007</v>
      </c>
      <c r="H202" s="28">
        <v>3.1</v>
      </c>
      <c r="I202" s="28">
        <v>6.1</v>
      </c>
      <c r="J202" s="28">
        <v>5.9</v>
      </c>
      <c r="K202" s="27" t="s">
        <v>576</v>
      </c>
      <c r="L202" s="27">
        <v>3</v>
      </c>
      <c r="M202" s="27">
        <v>7</v>
      </c>
      <c r="N202" s="1" t="s">
        <v>590</v>
      </c>
      <c r="O202" s="27">
        <v>21387.21</v>
      </c>
    </row>
    <row r="203" spans="1:15">
      <c r="A203" s="27" t="s">
        <v>327</v>
      </c>
      <c r="B203" s="27">
        <v>80</v>
      </c>
      <c r="C203" s="27" t="s">
        <v>541</v>
      </c>
      <c r="D203" s="27" t="s">
        <v>553</v>
      </c>
      <c r="E203" s="27">
        <v>2023</v>
      </c>
      <c r="F203" s="28">
        <v>3.3</v>
      </c>
      <c r="G203" s="27">
        <v>6.5</v>
      </c>
      <c r="H203" s="28">
        <v>9.6999999999999993</v>
      </c>
      <c r="I203" s="28">
        <v>4</v>
      </c>
      <c r="J203" s="28">
        <v>5.4</v>
      </c>
      <c r="K203" s="27" t="s">
        <v>571</v>
      </c>
      <c r="L203" s="27">
        <v>5</v>
      </c>
      <c r="M203" s="27">
        <v>4.5999999999999996</v>
      </c>
      <c r="N203" s="1" t="s">
        <v>592</v>
      </c>
      <c r="O203" s="27">
        <v>91537.79</v>
      </c>
    </row>
    <row r="204" spans="1:15">
      <c r="A204" s="27" t="s">
        <v>202</v>
      </c>
      <c r="B204" s="27">
        <v>27</v>
      </c>
      <c r="C204" s="27" t="s">
        <v>542</v>
      </c>
      <c r="D204" s="27" t="s">
        <v>556</v>
      </c>
      <c r="E204" s="27">
        <v>2022</v>
      </c>
      <c r="F204" s="28">
        <v>0.4</v>
      </c>
      <c r="G204" s="27">
        <v>5.8</v>
      </c>
      <c r="H204" s="28">
        <v>0.3</v>
      </c>
      <c r="I204" s="28">
        <v>4.4972477064220175</v>
      </c>
      <c r="J204" s="28">
        <v>2.2999999999999998</v>
      </c>
      <c r="K204" s="27" t="s">
        <v>578</v>
      </c>
      <c r="L204" s="27">
        <v>7</v>
      </c>
      <c r="M204" s="27">
        <v>3.18</v>
      </c>
      <c r="N204" s="1" t="s">
        <v>594</v>
      </c>
      <c r="O204" s="27">
        <v>25337.75</v>
      </c>
    </row>
    <row r="205" spans="1:15">
      <c r="A205" s="27" t="s">
        <v>309</v>
      </c>
      <c r="B205" s="27">
        <v>20</v>
      </c>
      <c r="C205" s="27" t="s">
        <v>542</v>
      </c>
      <c r="D205" s="27" t="s">
        <v>645</v>
      </c>
      <c r="E205" s="27">
        <v>2023</v>
      </c>
      <c r="F205" s="28">
        <v>6.6</v>
      </c>
      <c r="G205" s="27">
        <v>1.6</v>
      </c>
      <c r="H205" s="28">
        <v>5.5</v>
      </c>
      <c r="I205" s="28">
        <v>0.2</v>
      </c>
      <c r="J205" s="28">
        <v>1.6</v>
      </c>
      <c r="K205" s="27" t="s">
        <v>578</v>
      </c>
      <c r="L205" s="27">
        <v>1</v>
      </c>
      <c r="M205" s="27">
        <v>16.55</v>
      </c>
      <c r="N205" s="1" t="s">
        <v>591</v>
      </c>
      <c r="O205" s="27">
        <v>26551.57</v>
      </c>
    </row>
    <row r="206" spans="1:15">
      <c r="A206" s="27" t="s">
        <v>50</v>
      </c>
      <c r="B206" s="27">
        <v>80</v>
      </c>
      <c r="C206" s="27" t="s">
        <v>543</v>
      </c>
      <c r="D206" s="27" t="s">
        <v>556</v>
      </c>
      <c r="E206" s="27">
        <v>2022</v>
      </c>
      <c r="F206" s="28">
        <v>0.5</v>
      </c>
      <c r="G206" s="27">
        <v>6.1</v>
      </c>
      <c r="H206" s="28">
        <v>2.6</v>
      </c>
      <c r="I206" s="28">
        <v>4.5999999999999996</v>
      </c>
      <c r="J206" s="28">
        <v>3.5</v>
      </c>
      <c r="K206" s="27" t="s">
        <v>579</v>
      </c>
      <c r="L206" s="27">
        <v>5</v>
      </c>
      <c r="M206" s="27">
        <v>4.01</v>
      </c>
      <c r="N206" s="1" t="s">
        <v>592</v>
      </c>
      <c r="O206" s="27">
        <v>33002.339999999997</v>
      </c>
    </row>
    <row r="207" spans="1:15">
      <c r="A207" s="27" t="s">
        <v>329</v>
      </c>
      <c r="B207" s="27">
        <v>35</v>
      </c>
      <c r="C207" s="27" t="s">
        <v>541</v>
      </c>
      <c r="D207" s="27" t="s">
        <v>551</v>
      </c>
      <c r="E207" s="27">
        <v>2022</v>
      </c>
      <c r="F207" s="28">
        <v>2.7</v>
      </c>
      <c r="G207" s="27">
        <v>7.3</v>
      </c>
      <c r="H207" s="28">
        <v>3.3</v>
      </c>
      <c r="I207" s="28">
        <v>3.8</v>
      </c>
      <c r="J207" s="28">
        <v>5.8148148148148167</v>
      </c>
      <c r="K207" s="27" t="s">
        <v>573</v>
      </c>
      <c r="L207" s="27">
        <v>6</v>
      </c>
      <c r="M207" s="27">
        <v>4.1100000000000003</v>
      </c>
      <c r="N207" s="1" t="s">
        <v>592</v>
      </c>
      <c r="O207" s="27">
        <v>66111.39</v>
      </c>
    </row>
    <row r="208" spans="1:15">
      <c r="A208" s="27" t="s">
        <v>234</v>
      </c>
      <c r="B208" s="27">
        <v>22</v>
      </c>
      <c r="C208" s="27" t="s">
        <v>543</v>
      </c>
      <c r="D208" s="27" t="s">
        <v>552</v>
      </c>
      <c r="E208" s="27">
        <v>2022</v>
      </c>
      <c r="F208" s="28">
        <v>6.5</v>
      </c>
      <c r="G208" s="27">
        <v>5</v>
      </c>
      <c r="H208" s="28">
        <v>6.7</v>
      </c>
      <c r="I208" s="28">
        <v>4</v>
      </c>
      <c r="J208" s="28">
        <v>4</v>
      </c>
      <c r="K208" s="27" t="s">
        <v>571</v>
      </c>
      <c r="L208" s="27">
        <v>6</v>
      </c>
      <c r="M208" s="27">
        <v>4.4400000000000004</v>
      </c>
      <c r="N208" s="1" t="s">
        <v>592</v>
      </c>
      <c r="O208" s="27">
        <v>54884.27</v>
      </c>
    </row>
    <row r="209" spans="1:15">
      <c r="A209" s="27" t="s">
        <v>38</v>
      </c>
      <c r="B209" s="27">
        <v>26</v>
      </c>
      <c r="C209" s="27" t="s">
        <v>541</v>
      </c>
      <c r="D209" s="27" t="s">
        <v>551</v>
      </c>
      <c r="E209" s="27">
        <v>2022</v>
      </c>
      <c r="F209" s="28">
        <v>6.6</v>
      </c>
      <c r="G209" s="27">
        <v>8.1999999999999993</v>
      </c>
      <c r="H209" s="28">
        <v>5</v>
      </c>
      <c r="I209" s="28">
        <v>1.8</v>
      </c>
      <c r="J209" s="28">
        <v>6.6</v>
      </c>
      <c r="K209" s="27" t="s">
        <v>570</v>
      </c>
      <c r="L209" s="27">
        <v>6</v>
      </c>
      <c r="M209" s="27">
        <v>5.33</v>
      </c>
      <c r="N209" s="1" t="s">
        <v>592</v>
      </c>
      <c r="O209" s="27">
        <v>49346.17</v>
      </c>
    </row>
    <row r="210" spans="1:15">
      <c r="A210" s="27" t="s">
        <v>357</v>
      </c>
      <c r="B210" s="27">
        <v>30</v>
      </c>
      <c r="C210" s="27" t="s">
        <v>543</v>
      </c>
      <c r="D210" s="27" t="s">
        <v>556</v>
      </c>
      <c r="E210" s="27">
        <v>2024</v>
      </c>
      <c r="F210" s="28">
        <v>4.8</v>
      </c>
      <c r="G210" s="27">
        <v>3.3</v>
      </c>
      <c r="H210" s="28">
        <v>6.6</v>
      </c>
      <c r="I210" s="28">
        <v>4</v>
      </c>
      <c r="J210" s="28">
        <v>4.3</v>
      </c>
      <c r="K210" s="27" t="s">
        <v>573</v>
      </c>
      <c r="L210" s="27">
        <v>6</v>
      </c>
      <c r="M210" s="27">
        <v>5.52</v>
      </c>
      <c r="N210" s="1" t="s">
        <v>592</v>
      </c>
      <c r="O210" s="27">
        <v>7841.58</v>
      </c>
    </row>
    <row r="211" spans="1:15">
      <c r="A211" s="27" t="s">
        <v>305</v>
      </c>
      <c r="B211" s="27">
        <v>87</v>
      </c>
      <c r="C211" s="27" t="s">
        <v>543</v>
      </c>
      <c r="D211" s="27" t="s">
        <v>552</v>
      </c>
      <c r="E211" s="27">
        <v>2023</v>
      </c>
      <c r="F211" s="28">
        <v>5.0999999999999996</v>
      </c>
      <c r="G211" s="27">
        <v>4.9000000000000004</v>
      </c>
      <c r="H211" s="28">
        <v>0</v>
      </c>
      <c r="I211" s="28">
        <v>4.8019417475728154</v>
      </c>
      <c r="J211" s="28">
        <v>8</v>
      </c>
      <c r="K211" s="27" t="s">
        <v>571</v>
      </c>
      <c r="L211" s="27">
        <v>5</v>
      </c>
      <c r="M211" s="27">
        <v>5.99</v>
      </c>
      <c r="N211" s="1" t="s">
        <v>592</v>
      </c>
      <c r="O211" s="27">
        <v>6228.17</v>
      </c>
    </row>
    <row r="212" spans="1:15">
      <c r="A212" s="27" t="s">
        <v>350</v>
      </c>
      <c r="B212" s="27">
        <v>47</v>
      </c>
      <c r="C212" s="27" t="s">
        <v>542</v>
      </c>
      <c r="D212" s="27" t="s">
        <v>552</v>
      </c>
      <c r="E212" s="27">
        <v>2022</v>
      </c>
      <c r="F212" s="28">
        <v>7.7</v>
      </c>
      <c r="G212" s="27">
        <v>0.8</v>
      </c>
      <c r="H212" s="28">
        <v>1.5</v>
      </c>
      <c r="I212" s="28">
        <v>1.2</v>
      </c>
      <c r="J212" s="28">
        <v>3.1</v>
      </c>
      <c r="K212" s="27" t="s">
        <v>573</v>
      </c>
      <c r="L212" s="27">
        <v>8</v>
      </c>
      <c r="M212" s="27">
        <v>3.12</v>
      </c>
      <c r="N212" s="1" t="s">
        <v>594</v>
      </c>
      <c r="O212" s="27">
        <v>65539.259999999995</v>
      </c>
    </row>
    <row r="213" spans="1:15">
      <c r="A213" s="27" t="s">
        <v>72</v>
      </c>
      <c r="B213" s="27">
        <v>21</v>
      </c>
      <c r="C213" s="27" t="s">
        <v>541</v>
      </c>
      <c r="D213" s="27" t="s">
        <v>551</v>
      </c>
      <c r="E213" s="27">
        <v>2022</v>
      </c>
      <c r="F213" s="28">
        <v>5.4</v>
      </c>
      <c r="G213" s="27">
        <v>1.4</v>
      </c>
      <c r="H213" s="28">
        <v>4</v>
      </c>
      <c r="I213" s="28">
        <v>2.7</v>
      </c>
      <c r="J213" s="28">
        <v>6.9</v>
      </c>
      <c r="K213" s="27" t="s">
        <v>574</v>
      </c>
      <c r="L213" s="27">
        <v>8</v>
      </c>
      <c r="M213" s="27">
        <v>3.59</v>
      </c>
      <c r="N213" s="1" t="s">
        <v>594</v>
      </c>
      <c r="O213" s="27">
        <v>76352.539999999994</v>
      </c>
    </row>
    <row r="214" spans="1:15">
      <c r="A214" s="27" t="s">
        <v>184</v>
      </c>
      <c r="B214" s="27">
        <v>74</v>
      </c>
      <c r="C214" s="27" t="s">
        <v>546</v>
      </c>
      <c r="D214" s="27" t="s">
        <v>556</v>
      </c>
      <c r="E214" s="27">
        <v>2023</v>
      </c>
      <c r="F214" s="28">
        <v>6.8</v>
      </c>
      <c r="G214" s="27">
        <v>9.1999999999999993</v>
      </c>
      <c r="H214" s="28">
        <v>7.4</v>
      </c>
      <c r="I214" s="28">
        <v>4.2</v>
      </c>
      <c r="J214" s="28">
        <v>9.1999999999999993</v>
      </c>
      <c r="K214" s="27" t="s">
        <v>578</v>
      </c>
      <c r="L214" s="27">
        <v>6</v>
      </c>
      <c r="M214" s="27">
        <v>5.97</v>
      </c>
      <c r="N214" s="1" t="s">
        <v>592</v>
      </c>
      <c r="O214" s="27">
        <v>81940.25</v>
      </c>
    </row>
    <row r="215" spans="1:15">
      <c r="A215" s="27" t="s">
        <v>224</v>
      </c>
      <c r="B215" s="27">
        <v>74</v>
      </c>
      <c r="C215" s="27" t="s">
        <v>542</v>
      </c>
      <c r="D215" s="27" t="s">
        <v>672</v>
      </c>
      <c r="E215" s="27">
        <v>2023</v>
      </c>
      <c r="F215" s="28">
        <v>4</v>
      </c>
      <c r="G215" s="27">
        <v>5.0999999999999996</v>
      </c>
      <c r="H215" s="28">
        <v>8.1</v>
      </c>
      <c r="I215" s="28">
        <v>6.8</v>
      </c>
      <c r="J215" s="28">
        <v>6.8</v>
      </c>
      <c r="K215" s="27" t="s">
        <v>576</v>
      </c>
      <c r="L215" s="27">
        <v>4</v>
      </c>
      <c r="M215" s="27">
        <v>6.23</v>
      </c>
      <c r="N215" s="1" t="s">
        <v>590</v>
      </c>
      <c r="O215" s="27">
        <v>29456.720000000001</v>
      </c>
    </row>
    <row r="216" spans="1:15">
      <c r="A216" s="27" t="s">
        <v>207</v>
      </c>
      <c r="B216" s="27">
        <v>26</v>
      </c>
      <c r="C216" s="27" t="s">
        <v>542</v>
      </c>
      <c r="D216" s="27" t="s">
        <v>555</v>
      </c>
      <c r="E216" s="27">
        <v>2023</v>
      </c>
      <c r="F216" s="28">
        <v>5.6</v>
      </c>
      <c r="G216" s="27">
        <v>3</v>
      </c>
      <c r="H216" s="28">
        <v>8.4</v>
      </c>
      <c r="I216" s="28">
        <v>2.6</v>
      </c>
      <c r="J216" s="28">
        <v>2</v>
      </c>
      <c r="K216" s="27" t="s">
        <v>576</v>
      </c>
      <c r="L216" s="27">
        <v>7</v>
      </c>
      <c r="M216" s="27">
        <v>3.78</v>
      </c>
      <c r="N216" s="1" t="s">
        <v>594</v>
      </c>
      <c r="O216" s="27">
        <v>88353.8</v>
      </c>
    </row>
    <row r="217" spans="1:15">
      <c r="A217" s="27" t="s">
        <v>256</v>
      </c>
      <c r="B217" s="27">
        <v>27</v>
      </c>
      <c r="C217" s="27" t="s">
        <v>542</v>
      </c>
      <c r="D217" s="27" t="s">
        <v>555</v>
      </c>
      <c r="E217" s="27">
        <v>2022</v>
      </c>
      <c r="F217" s="28">
        <v>3.5</v>
      </c>
      <c r="G217" s="27">
        <v>6.2</v>
      </c>
      <c r="H217" s="28">
        <v>7.6</v>
      </c>
      <c r="I217" s="28">
        <v>5.6</v>
      </c>
      <c r="J217" s="28">
        <v>9.6</v>
      </c>
      <c r="K217" s="27" t="s">
        <v>574</v>
      </c>
      <c r="L217" s="27">
        <v>6</v>
      </c>
      <c r="M217" s="27">
        <v>5.37</v>
      </c>
      <c r="N217" s="1" t="s">
        <v>592</v>
      </c>
      <c r="O217" s="27">
        <v>73783.570000000007</v>
      </c>
    </row>
    <row r="218" spans="1:15">
      <c r="A218" s="27" t="s">
        <v>445</v>
      </c>
      <c r="B218" s="27">
        <v>82</v>
      </c>
      <c r="C218" s="27" t="s">
        <v>543</v>
      </c>
      <c r="D218" s="27" t="s">
        <v>553</v>
      </c>
      <c r="E218" s="27">
        <v>2022</v>
      </c>
      <c r="F218" s="28">
        <v>6.8</v>
      </c>
      <c r="G218" s="27">
        <v>5</v>
      </c>
      <c r="H218" s="28">
        <v>2.6</v>
      </c>
      <c r="I218" s="28">
        <v>1.7</v>
      </c>
      <c r="J218" s="28">
        <v>3.2</v>
      </c>
      <c r="K218" s="27" t="s">
        <v>578</v>
      </c>
      <c r="L218" s="27">
        <v>8</v>
      </c>
      <c r="M218" s="27">
        <v>3.78</v>
      </c>
      <c r="N218" s="1" t="s">
        <v>594</v>
      </c>
      <c r="O218" s="27">
        <v>68976.17</v>
      </c>
    </row>
    <row r="219" spans="1:15">
      <c r="A219" s="27" t="s">
        <v>539</v>
      </c>
      <c r="B219" s="27">
        <v>56</v>
      </c>
      <c r="C219" s="27" t="s">
        <v>542</v>
      </c>
      <c r="D219" s="27" t="s">
        <v>553</v>
      </c>
      <c r="E219" s="27">
        <v>2024</v>
      </c>
      <c r="F219" s="28">
        <v>4.0999999999999996</v>
      </c>
      <c r="G219" s="27">
        <v>1.8</v>
      </c>
      <c r="H219" s="28">
        <v>3.2</v>
      </c>
      <c r="I219" s="28">
        <v>8</v>
      </c>
      <c r="J219" s="28">
        <v>1</v>
      </c>
      <c r="K219" s="27" t="s">
        <v>578</v>
      </c>
      <c r="L219" s="27">
        <v>6</v>
      </c>
      <c r="M219" s="27">
        <v>4.17</v>
      </c>
      <c r="N219" s="1" t="s">
        <v>592</v>
      </c>
      <c r="O219" s="27">
        <v>54992.81</v>
      </c>
    </row>
    <row r="220" spans="1:15">
      <c r="A220" s="27" t="s">
        <v>163</v>
      </c>
      <c r="B220" s="27">
        <v>54</v>
      </c>
      <c r="C220" s="27" t="s">
        <v>543</v>
      </c>
      <c r="D220" s="27" t="s">
        <v>550</v>
      </c>
      <c r="E220" s="27">
        <v>2024</v>
      </c>
      <c r="F220" s="28">
        <v>9.8000000000000007</v>
      </c>
      <c r="G220" s="27">
        <v>2</v>
      </c>
      <c r="H220" s="28">
        <v>0.5</v>
      </c>
      <c r="I220" s="28">
        <v>3</v>
      </c>
      <c r="J220" s="28">
        <v>4.2</v>
      </c>
      <c r="K220" s="27" t="s">
        <v>546</v>
      </c>
      <c r="L220" s="27">
        <v>8</v>
      </c>
      <c r="M220" s="27">
        <v>3.64</v>
      </c>
      <c r="N220" s="1" t="s">
        <v>594</v>
      </c>
      <c r="O220" s="27">
        <v>85893.87</v>
      </c>
    </row>
    <row r="221" spans="1:15">
      <c r="A221" s="27" t="s">
        <v>183</v>
      </c>
      <c r="B221" s="27">
        <v>61</v>
      </c>
      <c r="C221" s="27" t="s">
        <v>543</v>
      </c>
      <c r="D221" s="27" t="s">
        <v>551</v>
      </c>
      <c r="E221" s="27">
        <v>2022</v>
      </c>
      <c r="F221" s="28">
        <v>5.2</v>
      </c>
      <c r="G221" s="27">
        <v>1.9</v>
      </c>
      <c r="H221" s="28">
        <v>3.3</v>
      </c>
      <c r="I221" s="28">
        <v>4.9000000000000004</v>
      </c>
      <c r="J221" s="28">
        <v>4.3</v>
      </c>
      <c r="K221" s="27" t="s">
        <v>570</v>
      </c>
      <c r="L221" s="27">
        <v>1</v>
      </c>
      <c r="M221" s="27">
        <v>20.77</v>
      </c>
      <c r="N221" s="1" t="s">
        <v>591</v>
      </c>
      <c r="O221" s="27">
        <v>50478.92</v>
      </c>
    </row>
    <row r="222" spans="1:15">
      <c r="A222" s="27" t="s">
        <v>420</v>
      </c>
      <c r="B222" s="27">
        <v>29</v>
      </c>
      <c r="C222" s="27" t="s">
        <v>542</v>
      </c>
      <c r="D222" s="27" t="s">
        <v>549</v>
      </c>
      <c r="E222" s="27">
        <v>2022</v>
      </c>
      <c r="F222" s="28">
        <v>3.5</v>
      </c>
      <c r="G222" s="27">
        <v>8.8000000000000007</v>
      </c>
      <c r="H222" s="28">
        <v>7.2</v>
      </c>
      <c r="I222" s="28">
        <v>8.9</v>
      </c>
      <c r="J222" s="28">
        <v>8</v>
      </c>
      <c r="K222" s="27" t="s">
        <v>571</v>
      </c>
      <c r="L222" s="27">
        <v>3</v>
      </c>
      <c r="M222" s="27">
        <v>7.2</v>
      </c>
      <c r="N222" s="1" t="s">
        <v>590</v>
      </c>
      <c r="O222" s="27">
        <v>24121.62</v>
      </c>
    </row>
    <row r="223" spans="1:15">
      <c r="A223" s="27" t="s">
        <v>96</v>
      </c>
      <c r="B223" s="27">
        <v>89</v>
      </c>
      <c r="C223" s="27" t="s">
        <v>542</v>
      </c>
      <c r="D223" s="27" t="s">
        <v>672</v>
      </c>
      <c r="E223" s="27">
        <v>2023</v>
      </c>
      <c r="F223" s="28">
        <v>6.7</v>
      </c>
      <c r="G223" s="27">
        <v>3.1</v>
      </c>
      <c r="H223" s="28">
        <v>4.5999999999999996</v>
      </c>
      <c r="I223" s="28">
        <v>8.9</v>
      </c>
      <c r="J223" s="28">
        <v>7.1</v>
      </c>
      <c r="K223" s="27" t="s">
        <v>574</v>
      </c>
      <c r="L223" s="27">
        <v>3</v>
      </c>
      <c r="M223" s="27">
        <v>6.34</v>
      </c>
      <c r="N223" s="1" t="s">
        <v>590</v>
      </c>
      <c r="O223" s="27">
        <v>32430.79</v>
      </c>
    </row>
    <row r="224" spans="1:15">
      <c r="A224" s="27" t="s">
        <v>417</v>
      </c>
      <c r="B224" s="27">
        <v>26</v>
      </c>
      <c r="C224" s="27" t="s">
        <v>541</v>
      </c>
      <c r="D224" s="27" t="s">
        <v>672</v>
      </c>
      <c r="E224" s="27">
        <v>2023</v>
      </c>
      <c r="F224" s="28">
        <v>8.4</v>
      </c>
      <c r="G224" s="27">
        <v>1</v>
      </c>
      <c r="H224" s="28">
        <v>9.9</v>
      </c>
      <c r="I224" s="28">
        <v>0.1</v>
      </c>
      <c r="J224" s="28">
        <v>1.9</v>
      </c>
      <c r="K224" s="27" t="s">
        <v>546</v>
      </c>
      <c r="L224" s="27">
        <v>8</v>
      </c>
      <c r="M224" s="27">
        <v>3.86</v>
      </c>
      <c r="N224" s="1" t="s">
        <v>594</v>
      </c>
      <c r="O224" s="27">
        <v>83055.59</v>
      </c>
    </row>
    <row r="225" spans="1:15">
      <c r="A225" s="27" t="s">
        <v>342</v>
      </c>
      <c r="B225" s="27">
        <v>22</v>
      </c>
      <c r="C225" s="27" t="s">
        <v>543</v>
      </c>
      <c r="D225" s="27" t="s">
        <v>553</v>
      </c>
      <c r="E225" s="27">
        <v>2023</v>
      </c>
      <c r="F225" s="28">
        <v>9</v>
      </c>
      <c r="G225" s="27">
        <v>4</v>
      </c>
      <c r="H225" s="28">
        <v>1.4</v>
      </c>
      <c r="I225" s="28">
        <v>5.3</v>
      </c>
      <c r="J225" s="28">
        <v>6.5</v>
      </c>
      <c r="K225" s="27" t="s">
        <v>572</v>
      </c>
      <c r="L225" s="27">
        <v>6</v>
      </c>
      <c r="M225" s="27">
        <v>5.99</v>
      </c>
      <c r="N225" s="1" t="s">
        <v>592</v>
      </c>
      <c r="O225" s="27">
        <v>16491.57</v>
      </c>
    </row>
    <row r="226" spans="1:15">
      <c r="A226" s="27" t="s">
        <v>423</v>
      </c>
      <c r="B226" s="27">
        <v>86</v>
      </c>
      <c r="C226" s="27" t="s">
        <v>541</v>
      </c>
      <c r="D226" s="27" t="s">
        <v>672</v>
      </c>
      <c r="E226" s="27">
        <v>2023</v>
      </c>
      <c r="F226" s="28">
        <v>3.2</v>
      </c>
      <c r="G226" s="27">
        <v>1.3</v>
      </c>
      <c r="H226" s="28">
        <v>6</v>
      </c>
      <c r="I226" s="28">
        <v>2.7</v>
      </c>
      <c r="J226" s="28">
        <v>0.1</v>
      </c>
      <c r="K226" s="27" t="s">
        <v>574</v>
      </c>
      <c r="L226" s="27">
        <v>7</v>
      </c>
      <c r="M226" s="27">
        <v>3.07</v>
      </c>
      <c r="N226" s="1" t="s">
        <v>594</v>
      </c>
      <c r="O226" s="27">
        <v>60641.88</v>
      </c>
    </row>
    <row r="227" spans="1:15">
      <c r="A227" s="27" t="s">
        <v>354</v>
      </c>
      <c r="B227" s="27">
        <v>88</v>
      </c>
      <c r="C227" s="27" t="s">
        <v>542</v>
      </c>
      <c r="D227" s="27" t="s">
        <v>552</v>
      </c>
      <c r="E227" s="27">
        <v>2022</v>
      </c>
      <c r="F227" s="28">
        <v>2.2000000000000002</v>
      </c>
      <c r="G227" s="27">
        <v>8.5</v>
      </c>
      <c r="H227" s="28">
        <v>5.6</v>
      </c>
      <c r="I227" s="28">
        <v>0.5</v>
      </c>
      <c r="J227" s="28">
        <v>8.8000000000000007</v>
      </c>
      <c r="K227" s="27" t="s">
        <v>579</v>
      </c>
      <c r="L227" s="27">
        <v>6</v>
      </c>
      <c r="M227" s="27">
        <v>5.37</v>
      </c>
      <c r="N227" s="1" t="s">
        <v>592</v>
      </c>
      <c r="O227" s="27">
        <v>8166.3</v>
      </c>
    </row>
    <row r="228" spans="1:15">
      <c r="A228" s="27" t="s">
        <v>66</v>
      </c>
      <c r="B228" s="27">
        <v>48</v>
      </c>
      <c r="C228" s="27" t="s">
        <v>543</v>
      </c>
      <c r="D228" s="27" t="s">
        <v>550</v>
      </c>
      <c r="E228" s="27">
        <v>2022</v>
      </c>
      <c r="F228" s="28">
        <v>8.6</v>
      </c>
      <c r="G228" s="27">
        <v>1.9</v>
      </c>
      <c r="H228" s="28">
        <v>6.3</v>
      </c>
      <c r="I228" s="28">
        <v>6</v>
      </c>
      <c r="J228" s="28">
        <v>7.9</v>
      </c>
      <c r="K228" s="27" t="s">
        <v>574</v>
      </c>
      <c r="L228" s="27">
        <v>6</v>
      </c>
      <c r="M228" s="27">
        <v>5.18</v>
      </c>
      <c r="N228" s="1" t="s">
        <v>592</v>
      </c>
      <c r="O228" s="27">
        <v>88035.7</v>
      </c>
    </row>
    <row r="229" spans="1:15">
      <c r="A229" s="27" t="s">
        <v>414</v>
      </c>
      <c r="B229" s="27">
        <v>83</v>
      </c>
      <c r="C229" s="27" t="s">
        <v>542</v>
      </c>
      <c r="D229" s="27" t="s">
        <v>551</v>
      </c>
      <c r="E229" s="27">
        <v>2022</v>
      </c>
      <c r="F229" s="28">
        <v>6.3</v>
      </c>
      <c r="G229" s="27">
        <v>3.6</v>
      </c>
      <c r="H229" s="28">
        <v>3.1</v>
      </c>
      <c r="I229" s="28">
        <v>8</v>
      </c>
      <c r="J229" s="28">
        <v>7.4</v>
      </c>
      <c r="K229" s="27" t="s">
        <v>579</v>
      </c>
      <c r="L229" s="27">
        <v>1</v>
      </c>
      <c r="M229" s="27">
        <v>29.15</v>
      </c>
      <c r="N229" s="1" t="s">
        <v>591</v>
      </c>
      <c r="O229" s="27">
        <v>67506.33</v>
      </c>
    </row>
    <row r="230" spans="1:15">
      <c r="A230" s="27" t="s">
        <v>44</v>
      </c>
      <c r="B230" s="27">
        <v>34</v>
      </c>
      <c r="C230" s="27" t="s">
        <v>543</v>
      </c>
      <c r="D230" s="27" t="s">
        <v>553</v>
      </c>
      <c r="E230" s="27">
        <v>2024</v>
      </c>
      <c r="F230" s="28">
        <v>7.9</v>
      </c>
      <c r="G230" s="27">
        <v>1.2</v>
      </c>
      <c r="H230" s="28">
        <v>4.0999999999999996</v>
      </c>
      <c r="I230" s="28">
        <v>3.6</v>
      </c>
      <c r="J230" s="28">
        <v>5.9</v>
      </c>
      <c r="K230" s="27" t="s">
        <v>571</v>
      </c>
      <c r="L230" s="27">
        <v>5</v>
      </c>
      <c r="M230" s="27">
        <v>5.3</v>
      </c>
      <c r="N230" s="1" t="s">
        <v>592</v>
      </c>
      <c r="O230" s="27">
        <v>19306.080000000002</v>
      </c>
    </row>
    <row r="231" spans="1:15">
      <c r="A231" s="27" t="s">
        <v>451</v>
      </c>
      <c r="B231" s="27">
        <v>86</v>
      </c>
      <c r="C231" s="27" t="s">
        <v>541</v>
      </c>
      <c r="D231" s="27" t="s">
        <v>645</v>
      </c>
      <c r="E231" s="27">
        <v>2022</v>
      </c>
      <c r="F231" s="28">
        <v>7.9</v>
      </c>
      <c r="G231" s="27">
        <v>1.2</v>
      </c>
      <c r="H231" s="28">
        <v>5.7</v>
      </c>
      <c r="I231" s="28">
        <v>2.6</v>
      </c>
      <c r="J231" s="28">
        <v>7.3</v>
      </c>
      <c r="K231" s="27" t="s">
        <v>576</v>
      </c>
      <c r="L231" s="27">
        <v>5</v>
      </c>
      <c r="M231" s="27">
        <v>5.26</v>
      </c>
      <c r="N231" s="1" t="s">
        <v>592</v>
      </c>
      <c r="O231" s="27">
        <v>30392.22</v>
      </c>
    </row>
    <row r="232" spans="1:15">
      <c r="A232" s="27" t="s">
        <v>292</v>
      </c>
      <c r="B232" s="27">
        <v>35</v>
      </c>
      <c r="C232" s="27" t="s">
        <v>543</v>
      </c>
      <c r="D232" s="27" t="s">
        <v>553</v>
      </c>
      <c r="E232" s="27">
        <v>2023</v>
      </c>
      <c r="F232" s="28">
        <v>0.5</v>
      </c>
      <c r="G232" s="27">
        <v>3.1</v>
      </c>
      <c r="H232" s="28">
        <v>1.4</v>
      </c>
      <c r="I232" s="28">
        <v>5.3</v>
      </c>
      <c r="J232" s="28">
        <v>8.6</v>
      </c>
      <c r="K232" s="27" t="s">
        <v>572</v>
      </c>
      <c r="L232" s="27">
        <v>8</v>
      </c>
      <c r="M232" s="27">
        <v>3.53</v>
      </c>
      <c r="N232" s="1" t="s">
        <v>594</v>
      </c>
      <c r="O232" s="27">
        <v>58463.62</v>
      </c>
    </row>
    <row r="233" spans="1:15">
      <c r="A233" s="27" t="s">
        <v>54</v>
      </c>
      <c r="B233" s="27">
        <v>43</v>
      </c>
      <c r="C233" s="27" t="s">
        <v>541</v>
      </c>
      <c r="D233" s="27" t="s">
        <v>549</v>
      </c>
      <c r="E233" s="27">
        <v>2023</v>
      </c>
      <c r="F233" s="28">
        <v>8.1999999999999993</v>
      </c>
      <c r="G233" s="27">
        <v>1.2</v>
      </c>
      <c r="H233" s="28">
        <v>4.8793814432989695</v>
      </c>
      <c r="I233" s="28">
        <v>9.3000000000000007</v>
      </c>
      <c r="J233" s="28">
        <v>3.2</v>
      </c>
      <c r="K233" s="27" t="s">
        <v>576</v>
      </c>
      <c r="L233" s="27">
        <v>6</v>
      </c>
      <c r="M233" s="27">
        <v>4.51</v>
      </c>
      <c r="N233" s="1" t="s">
        <v>592</v>
      </c>
      <c r="O233" s="27">
        <v>90841.75</v>
      </c>
    </row>
    <row r="234" spans="1:15">
      <c r="A234" s="27" t="s">
        <v>221</v>
      </c>
      <c r="B234" s="27">
        <v>57</v>
      </c>
      <c r="C234" s="27" t="s">
        <v>541</v>
      </c>
      <c r="D234" s="27" t="s">
        <v>556</v>
      </c>
      <c r="E234" s="27">
        <v>2024</v>
      </c>
      <c r="F234" s="28">
        <v>7.3</v>
      </c>
      <c r="G234" s="27">
        <v>7.7</v>
      </c>
      <c r="H234" s="28">
        <v>2.7</v>
      </c>
      <c r="I234" s="28">
        <v>2</v>
      </c>
      <c r="J234" s="28">
        <v>1</v>
      </c>
      <c r="K234" s="27" t="s">
        <v>573</v>
      </c>
      <c r="L234" s="27">
        <v>6</v>
      </c>
      <c r="M234" s="27">
        <v>4.99</v>
      </c>
      <c r="N234" s="1" t="s">
        <v>592</v>
      </c>
      <c r="O234" s="27">
        <v>26427.83</v>
      </c>
    </row>
    <row r="235" spans="1:15">
      <c r="A235" s="27" t="s">
        <v>172</v>
      </c>
      <c r="B235" s="27">
        <v>50</v>
      </c>
      <c r="C235" s="27" t="s">
        <v>543</v>
      </c>
      <c r="D235" s="27" t="s">
        <v>553</v>
      </c>
      <c r="E235" s="27">
        <v>2022</v>
      </c>
      <c r="F235" s="28">
        <v>5.9</v>
      </c>
      <c r="G235" s="27">
        <v>4</v>
      </c>
      <c r="H235" s="28">
        <v>1.1000000000000001</v>
      </c>
      <c r="I235" s="28">
        <v>4.5673684210526293</v>
      </c>
      <c r="J235" s="28">
        <v>3.7</v>
      </c>
      <c r="K235" s="27" t="s">
        <v>573</v>
      </c>
      <c r="L235" s="27">
        <v>5</v>
      </c>
      <c r="M235" s="27">
        <v>5.92</v>
      </c>
      <c r="N235" s="1" t="s">
        <v>592</v>
      </c>
      <c r="O235" s="27">
        <v>13558.14</v>
      </c>
    </row>
    <row r="236" spans="1:15">
      <c r="A236" s="27" t="s">
        <v>74</v>
      </c>
      <c r="B236" s="27">
        <v>31</v>
      </c>
      <c r="C236" s="27" t="s">
        <v>541</v>
      </c>
      <c r="D236" s="27" t="s">
        <v>553</v>
      </c>
      <c r="E236" s="27">
        <v>2023</v>
      </c>
      <c r="F236" s="28">
        <v>4.8861111111111102</v>
      </c>
      <c r="G236" s="27">
        <v>2.5</v>
      </c>
      <c r="H236" s="28">
        <v>7</v>
      </c>
      <c r="I236" s="28">
        <v>8.5</v>
      </c>
      <c r="J236" s="28">
        <v>10</v>
      </c>
      <c r="K236" s="27" t="s">
        <v>579</v>
      </c>
      <c r="L236" s="27">
        <v>6</v>
      </c>
      <c r="M236" s="27">
        <v>5.85</v>
      </c>
      <c r="N236" s="1" t="s">
        <v>592</v>
      </c>
      <c r="O236" s="27">
        <v>83638.48</v>
      </c>
    </row>
    <row r="237" spans="1:15">
      <c r="A237" s="27" t="s">
        <v>321</v>
      </c>
      <c r="B237" s="27">
        <v>66</v>
      </c>
      <c r="C237" s="27" t="s">
        <v>546</v>
      </c>
      <c r="D237" s="27" t="s">
        <v>553</v>
      </c>
      <c r="E237" s="27">
        <v>2024</v>
      </c>
      <c r="F237" s="28">
        <v>3.3</v>
      </c>
      <c r="G237" s="27">
        <v>5</v>
      </c>
      <c r="H237" s="28">
        <v>9.8000000000000007</v>
      </c>
      <c r="I237" s="28">
        <v>5.8</v>
      </c>
      <c r="J237" s="28">
        <v>5.3</v>
      </c>
      <c r="K237" s="27" t="s">
        <v>571</v>
      </c>
      <c r="L237" s="27">
        <v>6</v>
      </c>
      <c r="M237" s="27">
        <v>5.67</v>
      </c>
      <c r="N237" s="1" t="s">
        <v>592</v>
      </c>
      <c r="O237" s="27">
        <v>15635.52</v>
      </c>
    </row>
    <row r="238" spans="1:15">
      <c r="A238" s="27" t="s">
        <v>113</v>
      </c>
      <c r="B238" s="27">
        <v>66</v>
      </c>
      <c r="C238" s="27" t="s">
        <v>541</v>
      </c>
      <c r="D238" s="27" t="s">
        <v>672</v>
      </c>
      <c r="E238" s="27">
        <v>2024</v>
      </c>
      <c r="F238" s="28">
        <v>8.3000000000000007</v>
      </c>
      <c r="G238" s="27">
        <v>4.5999999999999996</v>
      </c>
      <c r="H238" s="28">
        <v>8.6</v>
      </c>
      <c r="I238" s="28">
        <v>4.2</v>
      </c>
      <c r="J238" s="28">
        <v>1.6</v>
      </c>
      <c r="K238" s="27" t="s">
        <v>579</v>
      </c>
      <c r="L238" s="27">
        <v>5</v>
      </c>
      <c r="M238" s="27">
        <v>5.4</v>
      </c>
      <c r="N238" s="1" t="s">
        <v>592</v>
      </c>
      <c r="O238" s="27">
        <v>62141.66</v>
      </c>
    </row>
    <row r="239" spans="1:15">
      <c r="A239" s="27" t="s">
        <v>27</v>
      </c>
      <c r="B239" s="27">
        <v>79</v>
      </c>
      <c r="C239" s="27" t="s">
        <v>542</v>
      </c>
      <c r="D239" s="27" t="s">
        <v>555</v>
      </c>
      <c r="E239" s="27">
        <v>2023</v>
      </c>
      <c r="F239" s="28">
        <v>5.7</v>
      </c>
      <c r="G239" s="27">
        <v>4.5</v>
      </c>
      <c r="H239" s="28">
        <v>6.5</v>
      </c>
      <c r="I239" s="28">
        <v>2.7</v>
      </c>
      <c r="J239" s="28">
        <v>2.1</v>
      </c>
      <c r="K239" s="27" t="s">
        <v>574</v>
      </c>
      <c r="L239" s="27">
        <v>8</v>
      </c>
      <c r="M239" s="27">
        <v>3.33</v>
      </c>
      <c r="N239" s="1" t="s">
        <v>594</v>
      </c>
      <c r="O239" s="27">
        <v>92498.36</v>
      </c>
    </row>
    <row r="240" spans="1:15">
      <c r="A240" s="27" t="s">
        <v>46</v>
      </c>
      <c r="B240" s="27">
        <v>33</v>
      </c>
      <c r="C240" s="27" t="s">
        <v>543</v>
      </c>
      <c r="D240" s="27" t="s">
        <v>549</v>
      </c>
      <c r="E240" s="27">
        <v>2023</v>
      </c>
      <c r="F240" s="28">
        <v>7</v>
      </c>
      <c r="G240" s="27">
        <v>9.6</v>
      </c>
      <c r="H240" s="28">
        <v>6.3</v>
      </c>
      <c r="I240" s="28">
        <v>1.3</v>
      </c>
      <c r="J240" s="28">
        <v>5.7</v>
      </c>
      <c r="K240" s="27" t="s">
        <v>571</v>
      </c>
      <c r="L240" s="27">
        <v>6</v>
      </c>
      <c r="M240" s="27">
        <v>5.16</v>
      </c>
      <c r="N240" s="1" t="s">
        <v>592</v>
      </c>
      <c r="O240" s="27">
        <v>72847.39</v>
      </c>
    </row>
    <row r="241" spans="1:15">
      <c r="A241" s="27" t="s">
        <v>387</v>
      </c>
      <c r="B241" s="27">
        <v>69</v>
      </c>
      <c r="C241" s="27" t="s">
        <v>541</v>
      </c>
      <c r="D241" s="27" t="s">
        <v>551</v>
      </c>
      <c r="E241" s="27">
        <v>2024</v>
      </c>
      <c r="F241" s="28">
        <v>2</v>
      </c>
      <c r="G241" s="27">
        <v>3.7</v>
      </c>
      <c r="H241" s="28">
        <v>4.2</v>
      </c>
      <c r="I241" s="28">
        <v>2.7</v>
      </c>
      <c r="J241" s="28">
        <v>6.9</v>
      </c>
      <c r="K241" s="27" t="s">
        <v>574</v>
      </c>
      <c r="L241" s="27">
        <v>5</v>
      </c>
      <c r="M241" s="27">
        <v>4.55</v>
      </c>
      <c r="N241" s="1" t="s">
        <v>592</v>
      </c>
      <c r="O241" s="27">
        <v>13409.27</v>
      </c>
    </row>
    <row r="242" spans="1:15">
      <c r="A242" s="27" t="s">
        <v>180</v>
      </c>
      <c r="B242" s="27">
        <v>24</v>
      </c>
      <c r="C242" s="27" t="s">
        <v>541</v>
      </c>
      <c r="D242" s="27" t="s">
        <v>672</v>
      </c>
      <c r="E242" s="27">
        <v>2024</v>
      </c>
      <c r="F242" s="28">
        <v>8.4</v>
      </c>
      <c r="G242" s="27">
        <v>5.7</v>
      </c>
      <c r="H242" s="28">
        <v>4.3</v>
      </c>
      <c r="I242" s="28">
        <v>5.2362637362637363</v>
      </c>
      <c r="J242" s="28">
        <v>4.0999999999999996</v>
      </c>
      <c r="K242" s="27" t="s">
        <v>572</v>
      </c>
      <c r="L242" s="27">
        <v>5</v>
      </c>
      <c r="M242" s="27">
        <v>4.2300000000000004</v>
      </c>
      <c r="N242" s="1" t="s">
        <v>592</v>
      </c>
      <c r="O242" s="27">
        <v>72041.53</v>
      </c>
    </row>
    <row r="243" spans="1:15">
      <c r="A243" s="27" t="s">
        <v>473</v>
      </c>
      <c r="B243" s="27">
        <v>73</v>
      </c>
      <c r="C243" s="27" t="s">
        <v>542</v>
      </c>
      <c r="D243" s="27" t="s">
        <v>551</v>
      </c>
      <c r="E243" s="27">
        <v>2024</v>
      </c>
      <c r="F243" s="28">
        <v>4.8640000000000008</v>
      </c>
      <c r="G243" s="27">
        <v>2</v>
      </c>
      <c r="H243" s="28">
        <v>4.9000000000000004</v>
      </c>
      <c r="I243" s="28">
        <v>2.8</v>
      </c>
      <c r="J243" s="28">
        <v>3.4</v>
      </c>
      <c r="K243" s="27" t="s">
        <v>576</v>
      </c>
      <c r="L243" s="27">
        <v>8</v>
      </c>
      <c r="M243" s="27">
        <v>3.4</v>
      </c>
      <c r="N243" s="1" t="s">
        <v>594</v>
      </c>
      <c r="O243" s="27">
        <v>51672.31</v>
      </c>
    </row>
    <row r="244" spans="1:15">
      <c r="A244" s="27" t="s">
        <v>238</v>
      </c>
      <c r="B244" s="27">
        <v>62</v>
      </c>
      <c r="C244" s="27" t="s">
        <v>546</v>
      </c>
      <c r="D244" s="27" t="s">
        <v>551</v>
      </c>
      <c r="E244" s="27">
        <v>2022</v>
      </c>
      <c r="F244" s="28">
        <v>4.5999999999999996</v>
      </c>
      <c r="G244" s="27">
        <v>5.6</v>
      </c>
      <c r="H244" s="28">
        <v>6.8</v>
      </c>
      <c r="I244" s="28">
        <v>0.8</v>
      </c>
      <c r="J244" s="28">
        <v>5.5</v>
      </c>
      <c r="K244" s="27" t="s">
        <v>574</v>
      </c>
      <c r="L244" s="27">
        <v>5</v>
      </c>
      <c r="M244" s="27">
        <v>5.08</v>
      </c>
      <c r="N244" s="1" t="s">
        <v>592</v>
      </c>
      <c r="O244" s="27">
        <v>20570.330000000002</v>
      </c>
    </row>
    <row r="245" spans="1:15">
      <c r="A245" s="27" t="s">
        <v>288</v>
      </c>
      <c r="B245" s="27">
        <v>65</v>
      </c>
      <c r="C245" s="27" t="s">
        <v>543</v>
      </c>
      <c r="D245" s="27" t="s">
        <v>555</v>
      </c>
      <c r="E245" s="27">
        <v>2023</v>
      </c>
      <c r="F245" s="28">
        <v>8.8000000000000007</v>
      </c>
      <c r="G245" s="27">
        <v>8.5</v>
      </c>
      <c r="H245" s="28">
        <v>6.2</v>
      </c>
      <c r="I245" s="28">
        <v>4.3</v>
      </c>
      <c r="J245" s="28">
        <v>4.5999999999999996</v>
      </c>
      <c r="K245" s="27" t="s">
        <v>576</v>
      </c>
      <c r="L245" s="27">
        <v>4</v>
      </c>
      <c r="M245" s="27">
        <v>7.17</v>
      </c>
      <c r="N245" s="1" t="s">
        <v>590</v>
      </c>
      <c r="O245" s="27">
        <v>5541.08</v>
      </c>
    </row>
    <row r="246" spans="1:15">
      <c r="A246" s="27" t="s">
        <v>196</v>
      </c>
      <c r="B246" s="27">
        <v>29</v>
      </c>
      <c r="C246" s="27" t="s">
        <v>542</v>
      </c>
      <c r="D246" s="27" t="s">
        <v>672</v>
      </c>
      <c r="E246" s="27">
        <v>2024</v>
      </c>
      <c r="F246" s="28">
        <v>8.5</v>
      </c>
      <c r="G246" s="27">
        <v>3.7</v>
      </c>
      <c r="H246" s="28">
        <v>3.9</v>
      </c>
      <c r="I246" s="28">
        <v>9.1</v>
      </c>
      <c r="J246" s="28">
        <v>4.3</v>
      </c>
      <c r="K246" s="27" t="s">
        <v>573</v>
      </c>
      <c r="L246" s="27">
        <v>6</v>
      </c>
      <c r="M246" s="27">
        <v>5.59</v>
      </c>
      <c r="N246" s="1" t="s">
        <v>592</v>
      </c>
      <c r="O246" s="27">
        <v>74876.09</v>
      </c>
    </row>
    <row r="247" spans="1:15">
      <c r="A247" s="27" t="s">
        <v>494</v>
      </c>
      <c r="B247" s="27">
        <v>74</v>
      </c>
      <c r="C247" s="27" t="s">
        <v>542</v>
      </c>
      <c r="D247" s="27" t="s">
        <v>550</v>
      </c>
      <c r="E247" s="27">
        <v>2024</v>
      </c>
      <c r="F247" s="28">
        <v>0.7</v>
      </c>
      <c r="G247" s="27">
        <v>9.6</v>
      </c>
      <c r="H247" s="28">
        <v>1.5</v>
      </c>
      <c r="I247" s="28">
        <v>5.3</v>
      </c>
      <c r="J247" s="28">
        <v>0.6</v>
      </c>
      <c r="K247" s="27" t="s">
        <v>574</v>
      </c>
      <c r="L247" s="27">
        <v>7</v>
      </c>
      <c r="M247" s="27">
        <v>3.42</v>
      </c>
      <c r="N247" s="1" t="s">
        <v>594</v>
      </c>
      <c r="O247" s="27">
        <v>75060.27</v>
      </c>
    </row>
    <row r="248" spans="1:15">
      <c r="A248" s="27" t="s">
        <v>439</v>
      </c>
      <c r="B248" s="27">
        <v>85</v>
      </c>
      <c r="C248" s="27" t="s">
        <v>542</v>
      </c>
      <c r="D248" s="27" t="s">
        <v>553</v>
      </c>
      <c r="E248" s="27">
        <v>2022</v>
      </c>
      <c r="F248" s="28">
        <v>4.3</v>
      </c>
      <c r="G248" s="27">
        <v>1.6</v>
      </c>
      <c r="H248" s="28">
        <v>5.3</v>
      </c>
      <c r="I248" s="28">
        <v>6.3</v>
      </c>
      <c r="J248" s="28">
        <v>7.6</v>
      </c>
      <c r="K248" s="27" t="s">
        <v>576</v>
      </c>
      <c r="L248" s="27">
        <v>6</v>
      </c>
      <c r="M248" s="27">
        <v>5.35</v>
      </c>
      <c r="N248" s="1" t="s">
        <v>592</v>
      </c>
      <c r="O248" s="27">
        <v>28148.09</v>
      </c>
    </row>
    <row r="249" spans="1:15">
      <c r="A249" s="27" t="s">
        <v>344</v>
      </c>
      <c r="B249" s="27">
        <v>86</v>
      </c>
      <c r="C249" s="27" t="s">
        <v>541</v>
      </c>
      <c r="D249" s="27" t="s">
        <v>550</v>
      </c>
      <c r="E249" s="27">
        <v>2023</v>
      </c>
      <c r="F249" s="28">
        <v>4.5999999999999996</v>
      </c>
      <c r="G249" s="27">
        <v>5.2</v>
      </c>
      <c r="H249" s="28">
        <v>2.2999999999999998</v>
      </c>
      <c r="I249" s="28">
        <v>4.8066666666666666</v>
      </c>
      <c r="J249" s="28">
        <v>3</v>
      </c>
      <c r="K249" s="27" t="s">
        <v>579</v>
      </c>
      <c r="L249" s="27">
        <v>8</v>
      </c>
      <c r="M249" s="27">
        <v>3.25</v>
      </c>
      <c r="N249" s="1" t="s">
        <v>594</v>
      </c>
      <c r="O249" s="27">
        <v>63828.95</v>
      </c>
    </row>
    <row r="250" spans="1:15">
      <c r="A250" s="27" t="s">
        <v>220</v>
      </c>
      <c r="B250" s="27">
        <v>53</v>
      </c>
      <c r="C250" s="27" t="s">
        <v>541</v>
      </c>
      <c r="D250" s="27" t="s">
        <v>645</v>
      </c>
      <c r="E250" s="27">
        <v>2023</v>
      </c>
      <c r="F250" s="28">
        <v>4.7</v>
      </c>
      <c r="G250" s="27">
        <v>6.2</v>
      </c>
      <c r="H250" s="28">
        <v>6.9</v>
      </c>
      <c r="I250" s="28">
        <v>3.1</v>
      </c>
      <c r="J250" s="28">
        <v>1.8</v>
      </c>
      <c r="K250" s="27" t="s">
        <v>573</v>
      </c>
      <c r="L250" s="27">
        <v>7</v>
      </c>
      <c r="M250" s="27">
        <v>3.91</v>
      </c>
      <c r="N250" s="1" t="s">
        <v>594</v>
      </c>
      <c r="O250" s="27">
        <v>89951.86</v>
      </c>
    </row>
    <row r="251" spans="1:15">
      <c r="A251" s="27" t="s">
        <v>235</v>
      </c>
      <c r="B251" s="27">
        <v>35</v>
      </c>
      <c r="C251" s="27" t="s">
        <v>543</v>
      </c>
      <c r="D251" s="27" t="s">
        <v>551</v>
      </c>
      <c r="E251" s="27">
        <v>2023</v>
      </c>
      <c r="F251" s="28">
        <v>9.1999999999999993</v>
      </c>
      <c r="G251" s="27">
        <v>8.4</v>
      </c>
      <c r="H251" s="28">
        <v>3.2</v>
      </c>
      <c r="I251" s="28">
        <v>8.9</v>
      </c>
      <c r="J251" s="28">
        <v>6.4</v>
      </c>
      <c r="K251" s="27" t="s">
        <v>570</v>
      </c>
      <c r="L251" s="27">
        <v>3</v>
      </c>
      <c r="M251" s="27">
        <v>6.87</v>
      </c>
      <c r="N251" s="1" t="s">
        <v>590</v>
      </c>
      <c r="O251" s="27">
        <v>56388.78</v>
      </c>
    </row>
    <row r="252" spans="1:15">
      <c r="A252" s="27" t="s">
        <v>277</v>
      </c>
      <c r="B252" s="27">
        <v>78</v>
      </c>
      <c r="C252" s="27" t="s">
        <v>541</v>
      </c>
      <c r="D252" s="27" t="s">
        <v>556</v>
      </c>
      <c r="E252" s="27">
        <v>2022</v>
      </c>
      <c r="F252" s="28">
        <v>5.0999999999999996</v>
      </c>
      <c r="G252" s="27">
        <v>8</v>
      </c>
      <c r="H252" s="28">
        <v>1.8</v>
      </c>
      <c r="I252" s="28">
        <v>4</v>
      </c>
      <c r="J252" s="28">
        <v>3.9</v>
      </c>
      <c r="K252" s="27" t="s">
        <v>573</v>
      </c>
      <c r="L252" s="27">
        <v>6</v>
      </c>
      <c r="M252" s="27">
        <v>5.39</v>
      </c>
      <c r="N252" s="1" t="s">
        <v>592</v>
      </c>
      <c r="O252" s="27">
        <v>14492.38</v>
      </c>
    </row>
    <row r="253" spans="1:15">
      <c r="A253" s="27" t="s">
        <v>340</v>
      </c>
      <c r="B253" s="27">
        <v>81</v>
      </c>
      <c r="C253" s="27" t="s">
        <v>546</v>
      </c>
      <c r="D253" s="27" t="s">
        <v>672</v>
      </c>
      <c r="E253" s="27">
        <v>2022</v>
      </c>
      <c r="F253" s="28">
        <v>9.4</v>
      </c>
      <c r="G253" s="27">
        <v>8.4</v>
      </c>
      <c r="H253" s="28">
        <v>0.5</v>
      </c>
      <c r="I253" s="28">
        <v>3.5</v>
      </c>
      <c r="J253" s="28">
        <v>4.4000000000000004</v>
      </c>
      <c r="K253" s="27" t="s">
        <v>579</v>
      </c>
      <c r="L253" s="27">
        <v>5</v>
      </c>
      <c r="M253" s="27">
        <v>5.46</v>
      </c>
      <c r="N253" s="1" t="s">
        <v>592</v>
      </c>
      <c r="O253" s="27">
        <v>44628.76</v>
      </c>
    </row>
    <row r="254" spans="1:15">
      <c r="A254" s="27" t="s">
        <v>287</v>
      </c>
      <c r="B254" s="27">
        <v>40</v>
      </c>
      <c r="C254" s="27" t="s">
        <v>543</v>
      </c>
      <c r="D254" s="27" t="s">
        <v>552</v>
      </c>
      <c r="E254" s="27">
        <v>2022</v>
      </c>
      <c r="F254" s="28">
        <v>0.3</v>
      </c>
      <c r="G254" s="27">
        <v>4</v>
      </c>
      <c r="H254" s="28">
        <v>9.1</v>
      </c>
      <c r="I254" s="28">
        <v>4.3</v>
      </c>
      <c r="J254" s="28">
        <v>8.8000000000000007</v>
      </c>
      <c r="K254" s="27" t="s">
        <v>570</v>
      </c>
      <c r="L254" s="27">
        <v>2</v>
      </c>
      <c r="M254" s="27">
        <v>27.57</v>
      </c>
      <c r="N254" s="1" t="s">
        <v>591</v>
      </c>
      <c r="O254" s="27">
        <v>27050</v>
      </c>
    </row>
    <row r="255" spans="1:15">
      <c r="A255" s="27" t="s">
        <v>524</v>
      </c>
      <c r="B255" s="27">
        <v>76</v>
      </c>
      <c r="C255" s="27" t="s">
        <v>543</v>
      </c>
      <c r="D255" s="27" t="s">
        <v>550</v>
      </c>
      <c r="E255" s="27">
        <v>2023</v>
      </c>
      <c r="F255" s="28">
        <v>3.5</v>
      </c>
      <c r="G255" s="27">
        <v>6.7</v>
      </c>
      <c r="H255" s="28">
        <v>3</v>
      </c>
      <c r="I255" s="28">
        <v>5.8</v>
      </c>
      <c r="J255" s="28">
        <v>8.3000000000000007</v>
      </c>
      <c r="K255" s="27" t="s">
        <v>573</v>
      </c>
      <c r="L255" s="27">
        <v>6</v>
      </c>
      <c r="M255" s="27">
        <v>5.15</v>
      </c>
      <c r="N255" s="1" t="s">
        <v>592</v>
      </c>
      <c r="O255" s="27">
        <v>49504.69</v>
      </c>
    </row>
    <row r="256" spans="1:15">
      <c r="A256" s="27" t="s">
        <v>406</v>
      </c>
      <c r="B256" s="27">
        <v>70</v>
      </c>
      <c r="C256" s="27" t="s">
        <v>542</v>
      </c>
      <c r="D256" s="27" t="s">
        <v>672</v>
      </c>
      <c r="E256" s="27">
        <v>2022</v>
      </c>
      <c r="F256" s="28">
        <v>4</v>
      </c>
      <c r="G256" s="27">
        <v>8</v>
      </c>
      <c r="H256" s="28">
        <v>0.7</v>
      </c>
      <c r="I256" s="28">
        <v>3.9</v>
      </c>
      <c r="J256" s="28">
        <v>4.8</v>
      </c>
      <c r="K256" s="27" t="s">
        <v>572</v>
      </c>
      <c r="L256" s="27">
        <v>5</v>
      </c>
      <c r="M256" s="27">
        <v>4.5599999999999996</v>
      </c>
      <c r="N256" s="1" t="s">
        <v>592</v>
      </c>
      <c r="O256" s="27">
        <v>40345.82</v>
      </c>
    </row>
    <row r="257" spans="1:15">
      <c r="A257" s="27" t="s">
        <v>136</v>
      </c>
      <c r="B257" s="27">
        <v>80</v>
      </c>
      <c r="C257" s="27" t="s">
        <v>542</v>
      </c>
      <c r="D257" s="27" t="s">
        <v>672</v>
      </c>
      <c r="E257" s="27">
        <v>2024</v>
      </c>
      <c r="F257" s="28">
        <v>7.9</v>
      </c>
      <c r="G257" s="27">
        <v>3.7</v>
      </c>
      <c r="H257" s="28">
        <v>5.0999999999999996</v>
      </c>
      <c r="I257" s="28">
        <v>9.3000000000000007</v>
      </c>
      <c r="J257" s="28">
        <v>0.9</v>
      </c>
      <c r="K257" s="27" t="s">
        <v>579</v>
      </c>
      <c r="L257" s="27">
        <v>1</v>
      </c>
      <c r="M257" s="27">
        <v>27.22</v>
      </c>
      <c r="N257" s="1" t="s">
        <v>591</v>
      </c>
      <c r="O257" s="27">
        <v>33867.040000000001</v>
      </c>
    </row>
    <row r="258" spans="1:15">
      <c r="A258" s="27" t="s">
        <v>474</v>
      </c>
      <c r="B258" s="27">
        <v>26</v>
      </c>
      <c r="C258" s="27" t="s">
        <v>541</v>
      </c>
      <c r="D258" s="27" t="s">
        <v>552</v>
      </c>
      <c r="E258" s="27">
        <v>2023</v>
      </c>
      <c r="F258" s="28">
        <v>1</v>
      </c>
      <c r="G258" s="27">
        <v>1.9</v>
      </c>
      <c r="H258" s="28">
        <v>2.9</v>
      </c>
      <c r="I258" s="28">
        <v>7.4</v>
      </c>
      <c r="J258" s="28">
        <v>4.4000000000000004</v>
      </c>
      <c r="K258" s="27" t="s">
        <v>579</v>
      </c>
      <c r="L258" s="27">
        <v>5</v>
      </c>
      <c r="M258" s="27">
        <v>5.31</v>
      </c>
      <c r="N258" s="1" t="s">
        <v>592</v>
      </c>
      <c r="O258" s="27">
        <v>19583.03</v>
      </c>
    </row>
    <row r="259" spans="1:15">
      <c r="A259" s="27" t="s">
        <v>142</v>
      </c>
      <c r="B259" s="27">
        <v>20</v>
      </c>
      <c r="C259" s="27" t="s">
        <v>543</v>
      </c>
      <c r="D259" s="27" t="s">
        <v>645</v>
      </c>
      <c r="E259" s="27">
        <v>2022</v>
      </c>
      <c r="F259" s="28">
        <v>0.9</v>
      </c>
      <c r="G259" s="27">
        <v>1.5</v>
      </c>
      <c r="H259" s="28">
        <v>2.1</v>
      </c>
      <c r="I259" s="28">
        <v>0.7</v>
      </c>
      <c r="J259" s="28">
        <v>9.6</v>
      </c>
      <c r="K259" s="27" t="s">
        <v>579</v>
      </c>
      <c r="L259" s="27">
        <v>8</v>
      </c>
      <c r="M259" s="27">
        <v>2.4500000000000002</v>
      </c>
      <c r="N259" s="1" t="s">
        <v>594</v>
      </c>
      <c r="O259" s="27">
        <v>68597.259999999995</v>
      </c>
    </row>
    <row r="260" spans="1:15">
      <c r="A260" s="27" t="s">
        <v>519</v>
      </c>
      <c r="B260" s="27">
        <v>51</v>
      </c>
      <c r="C260" s="27" t="s">
        <v>541</v>
      </c>
      <c r="D260" s="27" t="s">
        <v>549</v>
      </c>
      <c r="E260" s="27">
        <v>2022</v>
      </c>
      <c r="F260" s="28">
        <v>9.8000000000000007</v>
      </c>
      <c r="G260" s="27">
        <v>7.8</v>
      </c>
      <c r="H260" s="28">
        <v>6.2</v>
      </c>
      <c r="I260" s="28">
        <v>4.2</v>
      </c>
      <c r="J260" s="28">
        <v>5.7113636363636386</v>
      </c>
      <c r="K260" s="27" t="s">
        <v>571</v>
      </c>
      <c r="L260" s="27">
        <v>6</v>
      </c>
      <c r="M260" s="27">
        <v>5.53</v>
      </c>
      <c r="N260" s="1" t="s">
        <v>592</v>
      </c>
      <c r="O260" s="27">
        <v>92809.5</v>
      </c>
    </row>
    <row r="261" spans="1:15">
      <c r="A261" s="27" t="s">
        <v>273</v>
      </c>
      <c r="B261" s="27">
        <v>64</v>
      </c>
      <c r="C261" s="27" t="s">
        <v>541</v>
      </c>
      <c r="D261" s="27" t="s">
        <v>672</v>
      </c>
      <c r="E261" s="27">
        <v>2022</v>
      </c>
      <c r="F261" s="28">
        <v>7.9</v>
      </c>
      <c r="G261" s="27">
        <v>3.4</v>
      </c>
      <c r="H261" s="28">
        <v>5.3</v>
      </c>
      <c r="I261" s="28">
        <v>4.4000000000000004</v>
      </c>
      <c r="J261" s="28">
        <v>1.9</v>
      </c>
      <c r="K261" s="27" t="s">
        <v>576</v>
      </c>
      <c r="L261" s="27">
        <v>5</v>
      </c>
      <c r="M261" s="27">
        <v>5.28</v>
      </c>
      <c r="N261" s="1" t="s">
        <v>592</v>
      </c>
      <c r="O261" s="27">
        <v>33761.47</v>
      </c>
    </row>
    <row r="262" spans="1:15">
      <c r="A262" s="27" t="s">
        <v>55</v>
      </c>
      <c r="B262" s="27">
        <v>24</v>
      </c>
      <c r="C262" s="27" t="s">
        <v>542</v>
      </c>
      <c r="D262" s="27" t="s">
        <v>549</v>
      </c>
      <c r="E262" s="27">
        <v>2022</v>
      </c>
      <c r="F262" s="28">
        <v>5.7</v>
      </c>
      <c r="G262" s="27">
        <v>3.5</v>
      </c>
      <c r="H262" s="28">
        <v>5.8</v>
      </c>
      <c r="I262" s="28">
        <v>1.7</v>
      </c>
      <c r="J262" s="28">
        <v>0.2</v>
      </c>
      <c r="K262" s="27" t="s">
        <v>574</v>
      </c>
      <c r="L262" s="27">
        <v>5</v>
      </c>
      <c r="M262" s="27">
        <v>4.55</v>
      </c>
      <c r="N262" s="1" t="s">
        <v>592</v>
      </c>
      <c r="O262" s="27">
        <v>17248.919999999998</v>
      </c>
    </row>
    <row r="263" spans="1:15">
      <c r="A263" s="27" t="s">
        <v>422</v>
      </c>
      <c r="B263" s="27">
        <v>38</v>
      </c>
      <c r="C263" s="27" t="s">
        <v>542</v>
      </c>
      <c r="D263" s="27" t="s">
        <v>555</v>
      </c>
      <c r="E263" s="27">
        <v>2022</v>
      </c>
      <c r="F263" s="28">
        <v>0.1</v>
      </c>
      <c r="G263" s="27">
        <v>4.5999999999999996</v>
      </c>
      <c r="H263" s="28">
        <v>5.5</v>
      </c>
      <c r="I263" s="28">
        <v>1.1000000000000001</v>
      </c>
      <c r="J263" s="28">
        <v>9.4</v>
      </c>
      <c r="K263" s="27" t="s">
        <v>572</v>
      </c>
      <c r="L263" s="27">
        <v>8</v>
      </c>
      <c r="M263" s="27">
        <v>2.88</v>
      </c>
      <c r="N263" s="1" t="s">
        <v>594</v>
      </c>
      <c r="O263" s="27">
        <v>90584.37</v>
      </c>
    </row>
    <row r="264" spans="1:15">
      <c r="A264" s="27" t="s">
        <v>407</v>
      </c>
      <c r="B264" s="27">
        <v>37</v>
      </c>
      <c r="C264" s="27" t="s">
        <v>543</v>
      </c>
      <c r="D264" s="27" t="s">
        <v>672</v>
      </c>
      <c r="E264" s="27">
        <v>2022</v>
      </c>
      <c r="F264" s="28">
        <v>9.8000000000000007</v>
      </c>
      <c r="G264" s="27">
        <v>8.1999999999999993</v>
      </c>
      <c r="H264" s="28">
        <v>4.5999999999999996</v>
      </c>
      <c r="I264" s="28">
        <v>9.5</v>
      </c>
      <c r="J264" s="28">
        <v>8</v>
      </c>
      <c r="K264" s="27" t="s">
        <v>576</v>
      </c>
      <c r="L264" s="27">
        <v>3</v>
      </c>
      <c r="M264" s="27">
        <v>7.84</v>
      </c>
      <c r="N264" s="1" t="s">
        <v>590</v>
      </c>
      <c r="O264" s="27">
        <v>36919.410000000003</v>
      </c>
    </row>
    <row r="265" spans="1:15">
      <c r="A265" s="27" t="s">
        <v>152</v>
      </c>
      <c r="B265" s="27">
        <v>42</v>
      </c>
      <c r="C265" s="27" t="s">
        <v>543</v>
      </c>
      <c r="D265" s="27" t="s">
        <v>550</v>
      </c>
      <c r="E265" s="27">
        <v>2022</v>
      </c>
      <c r="F265" s="28">
        <v>9.1999999999999993</v>
      </c>
      <c r="G265" s="27">
        <v>0.1</v>
      </c>
      <c r="H265" s="28">
        <v>4.5999999999999996</v>
      </c>
      <c r="I265" s="28">
        <v>0.1</v>
      </c>
      <c r="J265" s="28">
        <v>1.8</v>
      </c>
      <c r="K265" s="27" t="s">
        <v>578</v>
      </c>
      <c r="L265" s="27">
        <v>7</v>
      </c>
      <c r="M265" s="27">
        <v>3.95</v>
      </c>
      <c r="N265" s="1" t="s">
        <v>594</v>
      </c>
      <c r="O265" s="27">
        <v>39596.11</v>
      </c>
    </row>
    <row r="266" spans="1:15">
      <c r="A266" s="27" t="s">
        <v>505</v>
      </c>
      <c r="B266" s="27">
        <v>39</v>
      </c>
      <c r="C266" s="27" t="s">
        <v>543</v>
      </c>
      <c r="D266" s="27" t="s">
        <v>672</v>
      </c>
      <c r="E266" s="27">
        <v>2022</v>
      </c>
      <c r="F266" s="28">
        <v>0.6</v>
      </c>
      <c r="G266" s="27">
        <v>4.8</v>
      </c>
      <c r="H266" s="28">
        <v>0.2</v>
      </c>
      <c r="I266" s="28">
        <v>7.6</v>
      </c>
      <c r="J266" s="28">
        <v>3.5</v>
      </c>
      <c r="K266" s="27" t="s">
        <v>574</v>
      </c>
      <c r="L266" s="27">
        <v>6</v>
      </c>
      <c r="M266" s="27">
        <v>4.3099999999999996</v>
      </c>
      <c r="N266" s="1" t="s">
        <v>592</v>
      </c>
      <c r="O266" s="27">
        <v>21271.25</v>
      </c>
    </row>
    <row r="267" spans="1:15">
      <c r="A267" s="27" t="s">
        <v>258</v>
      </c>
      <c r="B267" s="27">
        <v>82</v>
      </c>
      <c r="C267" s="27" t="s">
        <v>541</v>
      </c>
      <c r="D267" s="27" t="s">
        <v>550</v>
      </c>
      <c r="E267" s="27">
        <v>2024</v>
      </c>
      <c r="F267" s="28">
        <v>8.1999999999999993</v>
      </c>
      <c r="G267" s="27">
        <v>4.8</v>
      </c>
      <c r="H267" s="28">
        <v>6.4</v>
      </c>
      <c r="I267" s="28">
        <v>2.1</v>
      </c>
      <c r="J267" s="28">
        <v>3.8593023255813979</v>
      </c>
      <c r="K267" s="27" t="s">
        <v>579</v>
      </c>
      <c r="L267" s="27">
        <v>8</v>
      </c>
      <c r="M267" s="27">
        <v>3.89</v>
      </c>
      <c r="N267" s="1" t="s">
        <v>594</v>
      </c>
      <c r="O267" s="27">
        <v>95165.06</v>
      </c>
    </row>
    <row r="268" spans="1:15">
      <c r="A268" s="27" t="s">
        <v>421</v>
      </c>
      <c r="B268" s="27">
        <v>58</v>
      </c>
      <c r="C268" s="27" t="s">
        <v>546</v>
      </c>
      <c r="D268" s="27" t="s">
        <v>550</v>
      </c>
      <c r="E268" s="27">
        <v>2024</v>
      </c>
      <c r="F268" s="28">
        <v>7.7</v>
      </c>
      <c r="G268" s="27">
        <v>0.1</v>
      </c>
      <c r="H268" s="28">
        <v>9.6</v>
      </c>
      <c r="I268" s="28">
        <v>3.1</v>
      </c>
      <c r="J268" s="28">
        <v>0.6</v>
      </c>
      <c r="K268" s="27" t="s">
        <v>572</v>
      </c>
      <c r="L268" s="27">
        <v>5</v>
      </c>
      <c r="M268" s="27">
        <v>5.22</v>
      </c>
      <c r="N268" s="1" t="s">
        <v>592</v>
      </c>
      <c r="O268" s="27">
        <v>22812.75</v>
      </c>
    </row>
    <row r="269" spans="1:15">
      <c r="A269" s="27" t="s">
        <v>14</v>
      </c>
      <c r="B269" s="27">
        <v>58</v>
      </c>
      <c r="C269" s="27" t="s">
        <v>542</v>
      </c>
      <c r="D269" s="27" t="s">
        <v>550</v>
      </c>
      <c r="E269" s="27">
        <v>2023</v>
      </c>
      <c r="F269" s="28">
        <v>8.5</v>
      </c>
      <c r="G269" s="27">
        <v>7.9</v>
      </c>
      <c r="H269" s="28">
        <v>6.2</v>
      </c>
      <c r="I269" s="28">
        <v>0.3</v>
      </c>
      <c r="J269" s="28">
        <v>6</v>
      </c>
      <c r="K269" s="27" t="s">
        <v>574</v>
      </c>
      <c r="L269" s="27">
        <v>6</v>
      </c>
      <c r="M269" s="27">
        <v>5.0999999999999996</v>
      </c>
      <c r="N269" s="1" t="s">
        <v>592</v>
      </c>
      <c r="O269" s="27">
        <v>68840.38</v>
      </c>
    </row>
    <row r="270" spans="1:15">
      <c r="A270" s="27" t="s">
        <v>210</v>
      </c>
      <c r="B270" s="27">
        <v>50</v>
      </c>
      <c r="C270" s="27" t="s">
        <v>542</v>
      </c>
      <c r="D270" s="27" t="s">
        <v>672</v>
      </c>
      <c r="E270" s="27">
        <v>2023</v>
      </c>
      <c r="F270" s="28">
        <v>7.4</v>
      </c>
      <c r="G270" s="27">
        <v>2.2000000000000002</v>
      </c>
      <c r="H270" s="28">
        <v>7.1</v>
      </c>
      <c r="I270" s="28">
        <v>3.6</v>
      </c>
      <c r="J270" s="28">
        <v>3.3</v>
      </c>
      <c r="K270" s="27" t="s">
        <v>573</v>
      </c>
      <c r="L270" s="27">
        <v>8</v>
      </c>
      <c r="M270" s="27">
        <v>3.95</v>
      </c>
      <c r="N270" s="1" t="s">
        <v>594</v>
      </c>
      <c r="O270" s="27">
        <v>98578.87</v>
      </c>
    </row>
    <row r="271" spans="1:15">
      <c r="A271" s="27" t="s">
        <v>481</v>
      </c>
      <c r="B271" s="27">
        <v>34</v>
      </c>
      <c r="C271" s="27" t="s">
        <v>542</v>
      </c>
      <c r="D271" s="27" t="s">
        <v>556</v>
      </c>
      <c r="E271" s="27">
        <v>2023</v>
      </c>
      <c r="F271" s="28">
        <v>0.7</v>
      </c>
      <c r="G271" s="27">
        <v>6.1</v>
      </c>
      <c r="H271" s="28">
        <v>7.8</v>
      </c>
      <c r="I271" s="28">
        <v>2.6</v>
      </c>
      <c r="J271" s="28">
        <v>0.1</v>
      </c>
      <c r="K271" s="27" t="s">
        <v>579</v>
      </c>
      <c r="L271" s="27">
        <v>7</v>
      </c>
      <c r="M271" s="27">
        <v>2.78</v>
      </c>
      <c r="N271" s="1" t="s">
        <v>594</v>
      </c>
      <c r="O271" s="27">
        <v>98932.86</v>
      </c>
    </row>
    <row r="272" spans="1:15">
      <c r="A272" s="27" t="s">
        <v>364</v>
      </c>
      <c r="B272" s="27">
        <v>59</v>
      </c>
      <c r="C272" s="27" t="s">
        <v>542</v>
      </c>
      <c r="D272" s="27" t="s">
        <v>672</v>
      </c>
      <c r="E272" s="27">
        <v>2024</v>
      </c>
      <c r="F272" s="28">
        <v>3.6</v>
      </c>
      <c r="G272" s="27">
        <v>2.9</v>
      </c>
      <c r="H272" s="28">
        <v>3.5</v>
      </c>
      <c r="I272" s="28">
        <v>8.9</v>
      </c>
      <c r="J272" s="28">
        <v>7.9</v>
      </c>
      <c r="K272" s="27" t="s">
        <v>579</v>
      </c>
      <c r="L272" s="27">
        <v>4</v>
      </c>
      <c r="M272" s="27">
        <v>6.07</v>
      </c>
      <c r="N272" s="1" t="s">
        <v>590</v>
      </c>
      <c r="O272" s="27">
        <v>9008.85</v>
      </c>
    </row>
    <row r="273" spans="1:15">
      <c r="A273" s="27" t="s">
        <v>429</v>
      </c>
      <c r="B273" s="27">
        <v>76</v>
      </c>
      <c r="C273" s="27" t="s">
        <v>541</v>
      </c>
      <c r="D273" s="27" t="s">
        <v>555</v>
      </c>
      <c r="E273" s="27">
        <v>2023</v>
      </c>
      <c r="F273" s="28">
        <v>6.2</v>
      </c>
      <c r="G273" s="27">
        <v>4.4000000000000004</v>
      </c>
      <c r="H273" s="28">
        <v>0.9</v>
      </c>
      <c r="I273" s="28">
        <v>2.2000000000000002</v>
      </c>
      <c r="J273" s="28">
        <v>2.5</v>
      </c>
      <c r="K273" s="27" t="s">
        <v>572</v>
      </c>
      <c r="L273" s="27">
        <v>7</v>
      </c>
      <c r="M273" s="27">
        <v>2.19</v>
      </c>
      <c r="N273" s="1" t="s">
        <v>594</v>
      </c>
      <c r="O273" s="27">
        <v>95289.45</v>
      </c>
    </row>
    <row r="274" spans="1:15">
      <c r="A274" s="27" t="s">
        <v>63</v>
      </c>
      <c r="B274" s="27">
        <v>84</v>
      </c>
      <c r="C274" s="27" t="s">
        <v>543</v>
      </c>
      <c r="D274" s="27" t="s">
        <v>550</v>
      </c>
      <c r="E274" s="27">
        <v>2023</v>
      </c>
      <c r="F274" s="28">
        <v>7.7</v>
      </c>
      <c r="G274" s="27">
        <v>8.9</v>
      </c>
      <c r="H274" s="28">
        <v>2.2000000000000002</v>
      </c>
      <c r="I274" s="28">
        <v>7.6</v>
      </c>
      <c r="J274" s="28">
        <v>2.5</v>
      </c>
      <c r="K274" s="27" t="s">
        <v>576</v>
      </c>
      <c r="L274" s="27">
        <v>3</v>
      </c>
      <c r="M274" s="27">
        <v>6.29</v>
      </c>
      <c r="N274" s="1" t="s">
        <v>590</v>
      </c>
      <c r="O274" s="27">
        <v>34122.74</v>
      </c>
    </row>
    <row r="275" spans="1:15">
      <c r="A275" s="27" t="s">
        <v>318</v>
      </c>
      <c r="B275" s="27">
        <v>26</v>
      </c>
      <c r="C275" s="27" t="s">
        <v>542</v>
      </c>
      <c r="D275" s="27" t="s">
        <v>551</v>
      </c>
      <c r="E275" s="27">
        <v>2023</v>
      </c>
      <c r="F275" s="28">
        <v>6.2</v>
      </c>
      <c r="G275" s="27">
        <v>4.0999999999999996</v>
      </c>
      <c r="H275" s="28">
        <v>9.8000000000000007</v>
      </c>
      <c r="I275" s="28">
        <v>8.5</v>
      </c>
      <c r="J275" s="28">
        <v>9</v>
      </c>
      <c r="K275" s="27" t="s">
        <v>579</v>
      </c>
      <c r="L275" s="27">
        <v>4</v>
      </c>
      <c r="M275" s="27">
        <v>6.17</v>
      </c>
      <c r="N275" s="1" t="s">
        <v>590</v>
      </c>
      <c r="O275" s="27">
        <v>87997.56</v>
      </c>
    </row>
    <row r="276" spans="1:15">
      <c r="A276" s="27" t="s">
        <v>434</v>
      </c>
      <c r="B276" s="27">
        <v>49</v>
      </c>
      <c r="C276" s="27" t="s">
        <v>543</v>
      </c>
      <c r="D276" s="27" t="s">
        <v>554</v>
      </c>
      <c r="E276" s="27">
        <v>2022</v>
      </c>
      <c r="F276" s="28">
        <v>3.6</v>
      </c>
      <c r="G276" s="27">
        <v>5.3</v>
      </c>
      <c r="H276" s="28">
        <v>1</v>
      </c>
      <c r="I276" s="28">
        <v>9.1</v>
      </c>
      <c r="J276" s="28">
        <v>6.7</v>
      </c>
      <c r="K276" s="27" t="s">
        <v>573</v>
      </c>
      <c r="L276" s="27">
        <v>6</v>
      </c>
      <c r="M276" s="27">
        <v>4.5999999999999996</v>
      </c>
      <c r="N276" s="1" t="s">
        <v>592</v>
      </c>
      <c r="O276" s="27">
        <v>52073.65</v>
      </c>
    </row>
    <row r="277" spans="1:15">
      <c r="A277" s="27" t="s">
        <v>211</v>
      </c>
      <c r="B277" s="27">
        <v>51</v>
      </c>
      <c r="C277" s="27" t="s">
        <v>541</v>
      </c>
      <c r="D277" s="27" t="s">
        <v>556</v>
      </c>
      <c r="E277" s="27">
        <v>2022</v>
      </c>
      <c r="F277" s="28">
        <v>8.1</v>
      </c>
      <c r="G277" s="27">
        <v>1</v>
      </c>
      <c r="H277" s="28">
        <v>1.1000000000000001</v>
      </c>
      <c r="I277" s="28">
        <v>8.8000000000000007</v>
      </c>
      <c r="J277" s="28">
        <v>0.7</v>
      </c>
      <c r="K277" s="27" t="s">
        <v>572</v>
      </c>
      <c r="L277" s="27">
        <v>6</v>
      </c>
      <c r="M277" s="27">
        <v>5.33</v>
      </c>
      <c r="N277" s="1" t="s">
        <v>592</v>
      </c>
      <c r="O277" s="27">
        <v>21961.19</v>
      </c>
    </row>
    <row r="278" spans="1:15">
      <c r="A278" s="27" t="s">
        <v>132</v>
      </c>
      <c r="B278" s="27">
        <v>63</v>
      </c>
      <c r="C278" s="27" t="s">
        <v>543</v>
      </c>
      <c r="D278" s="27" t="s">
        <v>555</v>
      </c>
      <c r="E278" s="27">
        <v>2022</v>
      </c>
      <c r="F278" s="28">
        <v>6</v>
      </c>
      <c r="G278" s="27">
        <v>1.9</v>
      </c>
      <c r="H278" s="28">
        <v>1.1000000000000001</v>
      </c>
      <c r="I278" s="28">
        <v>2.4</v>
      </c>
      <c r="J278" s="28">
        <v>5.9</v>
      </c>
      <c r="K278" s="27" t="s">
        <v>576</v>
      </c>
      <c r="L278" s="27">
        <v>5</v>
      </c>
      <c r="M278" s="27">
        <v>4.53</v>
      </c>
      <c r="N278" s="1" t="s">
        <v>592</v>
      </c>
      <c r="O278" s="27">
        <v>9353.94</v>
      </c>
    </row>
    <row r="279" spans="1:15">
      <c r="A279" s="27" t="s">
        <v>402</v>
      </c>
      <c r="B279" s="27">
        <v>20</v>
      </c>
      <c r="C279" s="27" t="s">
        <v>543</v>
      </c>
      <c r="D279" s="27" t="s">
        <v>672</v>
      </c>
      <c r="E279" s="27">
        <v>2023</v>
      </c>
      <c r="F279" s="28">
        <v>8.5</v>
      </c>
      <c r="G279" s="27">
        <v>0</v>
      </c>
      <c r="H279" s="28">
        <v>9.6999999999999993</v>
      </c>
      <c r="I279" s="28">
        <v>1</v>
      </c>
      <c r="J279" s="28">
        <v>9.9</v>
      </c>
      <c r="K279" s="27" t="s">
        <v>570</v>
      </c>
      <c r="L279" s="27">
        <v>3</v>
      </c>
      <c r="M279" s="27">
        <v>6.15</v>
      </c>
      <c r="N279" s="1" t="s">
        <v>590</v>
      </c>
      <c r="O279" s="27">
        <v>9983.8700000000008</v>
      </c>
    </row>
    <row r="280" spans="1:15">
      <c r="A280" s="27" t="s">
        <v>16</v>
      </c>
      <c r="B280" s="27">
        <v>46</v>
      </c>
      <c r="C280" s="27" t="s">
        <v>542</v>
      </c>
      <c r="D280" s="27" t="s">
        <v>551</v>
      </c>
      <c r="E280" s="27">
        <v>2024</v>
      </c>
      <c r="F280" s="28">
        <v>5.7</v>
      </c>
      <c r="G280" s="27">
        <v>9.4</v>
      </c>
      <c r="H280" s="28">
        <v>5.6</v>
      </c>
      <c r="I280" s="28">
        <v>5.3</v>
      </c>
      <c r="J280" s="28">
        <v>2.2000000000000002</v>
      </c>
      <c r="K280" s="27" t="s">
        <v>573</v>
      </c>
      <c r="L280" s="27">
        <v>3</v>
      </c>
      <c r="M280" s="27">
        <v>6.53</v>
      </c>
      <c r="N280" s="1" t="s">
        <v>590</v>
      </c>
      <c r="O280" s="27">
        <v>6941.2</v>
      </c>
    </row>
    <row r="281" spans="1:15">
      <c r="A281" s="27" t="s">
        <v>480</v>
      </c>
      <c r="B281" s="27">
        <v>42</v>
      </c>
      <c r="C281" s="27" t="s">
        <v>543</v>
      </c>
      <c r="D281" s="27" t="s">
        <v>551</v>
      </c>
      <c r="E281" s="27">
        <v>2023</v>
      </c>
      <c r="F281" s="28">
        <v>4.7</v>
      </c>
      <c r="G281" s="27">
        <v>1.4</v>
      </c>
      <c r="H281" s="28">
        <v>4.2</v>
      </c>
      <c r="I281" s="28">
        <v>5.5</v>
      </c>
      <c r="J281" s="28">
        <v>5.8</v>
      </c>
      <c r="K281" s="27" t="s">
        <v>574</v>
      </c>
      <c r="L281" s="27">
        <v>5</v>
      </c>
      <c r="M281" s="27">
        <v>4.8499999999999996</v>
      </c>
      <c r="N281" s="1" t="s">
        <v>592</v>
      </c>
      <c r="O281" s="27">
        <v>30469.78</v>
      </c>
    </row>
    <row r="282" spans="1:15">
      <c r="A282" s="27" t="s">
        <v>368</v>
      </c>
      <c r="B282" s="27">
        <v>47</v>
      </c>
      <c r="C282" s="27" t="s">
        <v>542</v>
      </c>
      <c r="D282" s="27" t="s">
        <v>552</v>
      </c>
      <c r="E282" s="27">
        <v>2024</v>
      </c>
      <c r="F282" s="28">
        <v>8.1999999999999993</v>
      </c>
      <c r="G282" s="27">
        <v>5.0999999999999996</v>
      </c>
      <c r="H282" s="28">
        <v>0.4</v>
      </c>
      <c r="I282" s="28">
        <v>9.6</v>
      </c>
      <c r="J282" s="28">
        <v>0.6</v>
      </c>
      <c r="K282" s="27" t="s">
        <v>570</v>
      </c>
      <c r="L282" s="27">
        <v>5</v>
      </c>
      <c r="M282" s="27">
        <v>5.79</v>
      </c>
      <c r="N282" s="1" t="s">
        <v>592</v>
      </c>
      <c r="O282" s="27">
        <v>32570.91</v>
      </c>
    </row>
    <row r="283" spans="1:15">
      <c r="A283" s="27" t="s">
        <v>523</v>
      </c>
      <c r="B283" s="27">
        <v>50</v>
      </c>
      <c r="C283" s="27" t="s">
        <v>541</v>
      </c>
      <c r="D283" s="27" t="s">
        <v>645</v>
      </c>
      <c r="E283" s="27">
        <v>2023</v>
      </c>
      <c r="F283" s="28">
        <v>9.9</v>
      </c>
      <c r="G283" s="27">
        <v>4.5</v>
      </c>
      <c r="H283" s="28">
        <v>3.9</v>
      </c>
      <c r="I283" s="28">
        <v>0.9</v>
      </c>
      <c r="J283" s="28">
        <v>0.9</v>
      </c>
      <c r="K283" s="27" t="s">
        <v>570</v>
      </c>
      <c r="L283" s="27">
        <v>6</v>
      </c>
      <c r="M283" s="27">
        <v>5.15</v>
      </c>
      <c r="N283" s="1" t="s">
        <v>592</v>
      </c>
      <c r="O283" s="27">
        <v>24985.23</v>
      </c>
    </row>
    <row r="284" spans="1:15">
      <c r="A284" s="27" t="s">
        <v>300</v>
      </c>
      <c r="B284" s="27">
        <v>65</v>
      </c>
      <c r="C284" s="27" t="s">
        <v>541</v>
      </c>
      <c r="D284" s="27" t="s">
        <v>552</v>
      </c>
      <c r="E284" s="27">
        <v>2022</v>
      </c>
      <c r="F284" s="28">
        <v>3.9</v>
      </c>
      <c r="G284" s="27">
        <v>4.7</v>
      </c>
      <c r="H284" s="28">
        <v>3.3</v>
      </c>
      <c r="I284" s="28">
        <v>8.5</v>
      </c>
      <c r="J284" s="28">
        <v>8.3000000000000007</v>
      </c>
      <c r="K284" s="27" t="s">
        <v>576</v>
      </c>
      <c r="L284" s="27">
        <v>5</v>
      </c>
      <c r="M284" s="27">
        <v>5.31</v>
      </c>
      <c r="N284" s="1" t="s">
        <v>592</v>
      </c>
      <c r="O284" s="27">
        <v>59824.33</v>
      </c>
    </row>
    <row r="285" spans="1:15">
      <c r="A285" s="27" t="s">
        <v>162</v>
      </c>
      <c r="B285" s="27">
        <v>87</v>
      </c>
      <c r="C285" s="27" t="s">
        <v>541</v>
      </c>
      <c r="D285" s="27" t="s">
        <v>556</v>
      </c>
      <c r="E285" s="27">
        <v>2023</v>
      </c>
      <c r="F285" s="28">
        <v>3.7</v>
      </c>
      <c r="G285" s="27">
        <v>3.8</v>
      </c>
      <c r="H285" s="28">
        <v>7.2</v>
      </c>
      <c r="I285" s="28">
        <v>8.9</v>
      </c>
      <c r="J285" s="28">
        <v>5.0999999999999996</v>
      </c>
      <c r="K285" s="27" t="s">
        <v>576</v>
      </c>
      <c r="L285" s="27">
        <v>6</v>
      </c>
      <c r="M285" s="27">
        <v>5.75</v>
      </c>
      <c r="N285" s="1" t="s">
        <v>592</v>
      </c>
      <c r="O285" s="27">
        <v>46627</v>
      </c>
    </row>
    <row r="286" spans="1:15">
      <c r="A286" s="27" t="s">
        <v>127</v>
      </c>
      <c r="B286" s="27">
        <v>54</v>
      </c>
      <c r="C286" s="27" t="s">
        <v>541</v>
      </c>
      <c r="D286" s="27" t="s">
        <v>556</v>
      </c>
      <c r="E286" s="27">
        <v>2022</v>
      </c>
      <c r="F286" s="28">
        <v>9</v>
      </c>
      <c r="G286" s="27">
        <v>2.5</v>
      </c>
      <c r="H286" s="28">
        <v>1.1000000000000001</v>
      </c>
      <c r="I286" s="28">
        <v>5.5</v>
      </c>
      <c r="J286" s="28">
        <v>0.6</v>
      </c>
      <c r="K286" s="27" t="s">
        <v>570</v>
      </c>
      <c r="L286" s="27">
        <v>6</v>
      </c>
      <c r="M286" s="27">
        <v>4.9400000000000004</v>
      </c>
      <c r="N286" s="1" t="s">
        <v>592</v>
      </c>
      <c r="O286" s="27">
        <v>28222.73</v>
      </c>
    </row>
    <row r="287" spans="1:15">
      <c r="A287" s="27" t="s">
        <v>352</v>
      </c>
      <c r="B287" s="27">
        <v>67</v>
      </c>
      <c r="C287" s="27" t="s">
        <v>542</v>
      </c>
      <c r="D287" s="27" t="s">
        <v>551</v>
      </c>
      <c r="E287" s="27">
        <v>2023</v>
      </c>
      <c r="F287" s="28">
        <v>1</v>
      </c>
      <c r="G287" s="27">
        <v>4.9000000000000004</v>
      </c>
      <c r="H287" s="28">
        <v>8.6</v>
      </c>
      <c r="I287" s="28">
        <v>0.1</v>
      </c>
      <c r="J287" s="28">
        <v>5.4</v>
      </c>
      <c r="K287" s="27" t="s">
        <v>571</v>
      </c>
      <c r="L287" s="27">
        <v>8</v>
      </c>
      <c r="M287" s="27">
        <v>3.53</v>
      </c>
      <c r="N287" s="1" t="s">
        <v>594</v>
      </c>
      <c r="O287" s="27">
        <v>62640.07</v>
      </c>
    </row>
    <row r="288" spans="1:15">
      <c r="A288" s="27" t="s">
        <v>535</v>
      </c>
      <c r="B288" s="27">
        <v>41</v>
      </c>
      <c r="C288" s="27" t="s">
        <v>542</v>
      </c>
      <c r="D288" s="27" t="s">
        <v>553</v>
      </c>
      <c r="E288" s="27">
        <v>2022</v>
      </c>
      <c r="F288" s="28">
        <v>3.9</v>
      </c>
      <c r="G288" s="27">
        <v>5.7</v>
      </c>
      <c r="H288" s="28">
        <v>5.6</v>
      </c>
      <c r="I288" s="28">
        <v>6.7</v>
      </c>
      <c r="J288" s="28">
        <v>5.9</v>
      </c>
      <c r="K288" s="27" t="s">
        <v>579</v>
      </c>
      <c r="L288" s="27">
        <v>5</v>
      </c>
      <c r="M288" s="27">
        <v>4.58</v>
      </c>
      <c r="N288" s="1" t="s">
        <v>592</v>
      </c>
      <c r="O288" s="27">
        <v>91406.47</v>
      </c>
    </row>
    <row r="289" spans="1:15">
      <c r="A289" s="27" t="s">
        <v>312</v>
      </c>
      <c r="B289" s="27">
        <v>69</v>
      </c>
      <c r="C289" s="27" t="s">
        <v>543</v>
      </c>
      <c r="D289" s="27" t="s">
        <v>549</v>
      </c>
      <c r="E289" s="27">
        <v>2023</v>
      </c>
      <c r="F289" s="28">
        <v>4.4000000000000004</v>
      </c>
      <c r="G289" s="27">
        <v>0.1</v>
      </c>
      <c r="H289" s="28">
        <v>7.7</v>
      </c>
      <c r="I289" s="28">
        <v>8.5</v>
      </c>
      <c r="J289" s="28">
        <v>5.9</v>
      </c>
      <c r="K289" s="27" t="s">
        <v>573</v>
      </c>
      <c r="L289" s="27">
        <v>5</v>
      </c>
      <c r="M289" s="27">
        <v>5.44</v>
      </c>
      <c r="N289" s="1" t="s">
        <v>592</v>
      </c>
      <c r="O289" s="27">
        <v>45124.05</v>
      </c>
    </row>
    <row r="290" spans="1:15">
      <c r="A290" s="27" t="s">
        <v>100</v>
      </c>
      <c r="B290" s="27">
        <v>85</v>
      </c>
      <c r="C290" s="27" t="s">
        <v>546</v>
      </c>
      <c r="D290" s="27" t="s">
        <v>555</v>
      </c>
      <c r="E290" s="27">
        <v>2022</v>
      </c>
      <c r="F290" s="28">
        <v>4.8</v>
      </c>
      <c r="G290" s="27">
        <v>4.8</v>
      </c>
      <c r="H290" s="28">
        <v>2.9</v>
      </c>
      <c r="I290" s="28">
        <v>6.1</v>
      </c>
      <c r="J290" s="28">
        <v>2.1</v>
      </c>
      <c r="K290" s="27" t="s">
        <v>576</v>
      </c>
      <c r="L290" s="27">
        <v>6</v>
      </c>
      <c r="M290" s="27">
        <v>4.68</v>
      </c>
      <c r="N290" s="1" t="s">
        <v>592</v>
      </c>
      <c r="O290" s="27">
        <v>43378.99</v>
      </c>
    </row>
    <row r="291" spans="1:15">
      <c r="A291" s="27" t="s">
        <v>348</v>
      </c>
      <c r="B291" s="27">
        <v>30</v>
      </c>
      <c r="C291" s="27" t="s">
        <v>541</v>
      </c>
      <c r="D291" s="27" t="s">
        <v>555</v>
      </c>
      <c r="E291" s="27">
        <v>2024</v>
      </c>
      <c r="F291" s="28">
        <v>6</v>
      </c>
      <c r="G291" s="27">
        <v>4.9000000000000004</v>
      </c>
      <c r="H291" s="28">
        <v>6.1</v>
      </c>
      <c r="I291" s="28">
        <v>4.7</v>
      </c>
      <c r="J291" s="28">
        <v>6.7</v>
      </c>
      <c r="K291" s="27" t="s">
        <v>579</v>
      </c>
      <c r="L291" s="27">
        <v>5</v>
      </c>
      <c r="M291" s="27">
        <v>5.38</v>
      </c>
      <c r="N291" s="1" t="s">
        <v>592</v>
      </c>
      <c r="O291" s="27">
        <v>54035.6</v>
      </c>
    </row>
    <row r="292" spans="1:15">
      <c r="A292" s="27" t="s">
        <v>529</v>
      </c>
      <c r="B292" s="27">
        <v>43</v>
      </c>
      <c r="C292" s="27" t="s">
        <v>542</v>
      </c>
      <c r="D292" s="27" t="s">
        <v>672</v>
      </c>
      <c r="E292" s="27">
        <v>2022</v>
      </c>
      <c r="F292" s="28">
        <v>4.5999999999999996</v>
      </c>
      <c r="G292" s="27">
        <v>2.9</v>
      </c>
      <c r="H292" s="28">
        <v>6</v>
      </c>
      <c r="I292" s="28">
        <v>5.3</v>
      </c>
      <c r="J292" s="28">
        <v>8.3000000000000007</v>
      </c>
      <c r="K292" s="27" t="s">
        <v>572</v>
      </c>
      <c r="L292" s="27">
        <v>6</v>
      </c>
      <c r="M292" s="27">
        <v>4.4800000000000004</v>
      </c>
      <c r="N292" s="1" t="s">
        <v>592</v>
      </c>
      <c r="O292" s="27">
        <v>83131.34</v>
      </c>
    </row>
    <row r="293" spans="1:15">
      <c r="A293" s="27" t="s">
        <v>362</v>
      </c>
      <c r="B293" s="27">
        <v>36</v>
      </c>
      <c r="C293" s="27" t="s">
        <v>541</v>
      </c>
      <c r="D293" s="27" t="s">
        <v>550</v>
      </c>
      <c r="E293" s="27">
        <v>2024</v>
      </c>
      <c r="F293" s="28">
        <v>2.7</v>
      </c>
      <c r="G293" s="27">
        <v>9.5</v>
      </c>
      <c r="H293" s="28">
        <v>5.6</v>
      </c>
      <c r="I293" s="28">
        <v>9.8000000000000007</v>
      </c>
      <c r="J293" s="28">
        <v>7.4</v>
      </c>
      <c r="K293" s="27" t="s">
        <v>572</v>
      </c>
      <c r="L293" s="27">
        <v>3</v>
      </c>
      <c r="M293" s="27">
        <v>6.24</v>
      </c>
      <c r="N293" s="1" t="s">
        <v>590</v>
      </c>
      <c r="O293" s="27">
        <v>63110.32</v>
      </c>
    </row>
    <row r="294" spans="1:15">
      <c r="A294" s="27" t="s">
        <v>426</v>
      </c>
      <c r="B294" s="27">
        <v>83</v>
      </c>
      <c r="C294" s="27" t="s">
        <v>546</v>
      </c>
      <c r="D294" s="27" t="s">
        <v>556</v>
      </c>
      <c r="E294" s="27">
        <v>2023</v>
      </c>
      <c r="F294" s="28">
        <v>5.8</v>
      </c>
      <c r="G294" s="27">
        <v>5</v>
      </c>
      <c r="H294" s="28">
        <v>6.9</v>
      </c>
      <c r="I294" s="28">
        <v>6.7</v>
      </c>
      <c r="J294" s="28">
        <v>2.7</v>
      </c>
      <c r="K294" s="27" t="s">
        <v>573</v>
      </c>
      <c r="L294" s="27">
        <v>3</v>
      </c>
      <c r="M294" s="27">
        <v>6.23</v>
      </c>
      <c r="N294" s="1" t="s">
        <v>590</v>
      </c>
      <c r="O294" s="27">
        <v>16455.62</v>
      </c>
    </row>
    <row r="295" spans="1:15">
      <c r="A295" s="27" t="s">
        <v>90</v>
      </c>
      <c r="B295" s="27">
        <v>86</v>
      </c>
      <c r="C295" s="27" t="s">
        <v>543</v>
      </c>
      <c r="D295" s="27" t="s">
        <v>556</v>
      </c>
      <c r="E295" s="27">
        <v>2023</v>
      </c>
      <c r="F295" s="28">
        <v>5.7624113475177285</v>
      </c>
      <c r="G295" s="27">
        <v>2.4</v>
      </c>
      <c r="H295" s="28">
        <v>7.7</v>
      </c>
      <c r="I295" s="28">
        <v>8.9</v>
      </c>
      <c r="J295" s="28">
        <v>6.2</v>
      </c>
      <c r="K295" s="27" t="s">
        <v>576</v>
      </c>
      <c r="L295" s="27">
        <v>4</v>
      </c>
      <c r="M295" s="27">
        <v>7.32</v>
      </c>
      <c r="N295" s="1" t="s">
        <v>590</v>
      </c>
      <c r="O295" s="27">
        <v>20814.84</v>
      </c>
    </row>
    <row r="296" spans="1:15">
      <c r="A296" s="27" t="s">
        <v>479</v>
      </c>
      <c r="B296" s="27">
        <v>36</v>
      </c>
      <c r="C296" s="27" t="s">
        <v>542</v>
      </c>
      <c r="D296" s="27" t="s">
        <v>550</v>
      </c>
      <c r="E296" s="27">
        <v>2024</v>
      </c>
      <c r="F296" s="28">
        <v>6.8</v>
      </c>
      <c r="G296" s="27">
        <v>2.5</v>
      </c>
      <c r="H296" s="28">
        <v>0.1</v>
      </c>
      <c r="I296" s="28">
        <v>7.6</v>
      </c>
      <c r="J296" s="28">
        <v>9</v>
      </c>
      <c r="K296" s="27" t="s">
        <v>571</v>
      </c>
      <c r="L296" s="27">
        <v>6</v>
      </c>
      <c r="M296" s="27">
        <v>5.74</v>
      </c>
      <c r="N296" s="1" t="s">
        <v>592</v>
      </c>
      <c r="O296" s="27">
        <v>21295.119999999999</v>
      </c>
    </row>
    <row r="297" spans="1:15">
      <c r="A297" s="27" t="s">
        <v>443</v>
      </c>
      <c r="B297" s="27">
        <v>45</v>
      </c>
      <c r="C297" s="27" t="s">
        <v>542</v>
      </c>
      <c r="D297" s="27" t="s">
        <v>554</v>
      </c>
      <c r="E297" s="27">
        <v>2022</v>
      </c>
      <c r="F297" s="28">
        <v>4</v>
      </c>
      <c r="G297" s="27">
        <v>5.8</v>
      </c>
      <c r="H297" s="28">
        <v>0.7</v>
      </c>
      <c r="I297" s="28">
        <v>6.8</v>
      </c>
      <c r="J297" s="28">
        <v>50.5</v>
      </c>
      <c r="K297" s="27" t="s">
        <v>574</v>
      </c>
      <c r="L297" s="27">
        <v>5</v>
      </c>
      <c r="M297" s="27">
        <v>4.9000000000000004</v>
      </c>
      <c r="N297" s="1" t="s">
        <v>592</v>
      </c>
      <c r="O297" s="27">
        <v>17832.32</v>
      </c>
    </row>
    <row r="298" spans="1:15">
      <c r="A298" s="27" t="s">
        <v>394</v>
      </c>
      <c r="B298" s="27">
        <v>66</v>
      </c>
      <c r="C298" s="27" t="s">
        <v>542</v>
      </c>
      <c r="D298" s="27" t="s">
        <v>555</v>
      </c>
      <c r="E298" s="27">
        <v>2022</v>
      </c>
      <c r="F298" s="28">
        <v>0.7</v>
      </c>
      <c r="G298" s="27">
        <v>10</v>
      </c>
      <c r="H298" s="28">
        <v>9.6999999999999993</v>
      </c>
      <c r="I298" s="28">
        <v>0.6</v>
      </c>
      <c r="J298" s="28">
        <v>3.1</v>
      </c>
      <c r="K298" s="27" t="s">
        <v>578</v>
      </c>
      <c r="L298" s="27">
        <v>6</v>
      </c>
      <c r="M298" s="27">
        <v>4.05</v>
      </c>
      <c r="N298" s="1" t="s">
        <v>592</v>
      </c>
      <c r="O298" s="27">
        <v>73692.47</v>
      </c>
    </row>
    <row r="299" spans="1:15">
      <c r="A299" s="27" t="s">
        <v>188</v>
      </c>
      <c r="B299" s="27">
        <v>31</v>
      </c>
      <c r="C299" s="27" t="s">
        <v>541</v>
      </c>
      <c r="D299" s="27" t="s">
        <v>645</v>
      </c>
      <c r="E299" s="27">
        <v>2022</v>
      </c>
      <c r="F299" s="28">
        <v>7.5</v>
      </c>
      <c r="G299" s="27">
        <v>8</v>
      </c>
      <c r="H299" s="28">
        <v>4.2</v>
      </c>
      <c r="I299" s="28">
        <v>1.7</v>
      </c>
      <c r="J299" s="28">
        <v>4</v>
      </c>
      <c r="K299" s="27" t="s">
        <v>570</v>
      </c>
      <c r="L299" s="27">
        <v>6</v>
      </c>
      <c r="M299" s="27">
        <v>5.04</v>
      </c>
      <c r="N299" s="1" t="s">
        <v>592</v>
      </c>
      <c r="O299" s="27">
        <v>51554.93</v>
      </c>
    </row>
    <row r="300" spans="1:15">
      <c r="A300" s="27" t="s">
        <v>432</v>
      </c>
      <c r="B300" s="27">
        <v>84</v>
      </c>
      <c r="C300" s="27" t="s">
        <v>543</v>
      </c>
      <c r="D300" s="27" t="s">
        <v>556</v>
      </c>
      <c r="E300" s="27">
        <v>2022</v>
      </c>
      <c r="F300" s="28">
        <v>0.3</v>
      </c>
      <c r="G300" s="27">
        <v>6.3</v>
      </c>
      <c r="H300" s="28">
        <v>2.8</v>
      </c>
      <c r="I300" s="28">
        <v>0.6</v>
      </c>
      <c r="J300" s="28">
        <v>4.7</v>
      </c>
      <c r="K300" s="27" t="s">
        <v>570</v>
      </c>
      <c r="L300" s="27">
        <v>7</v>
      </c>
      <c r="M300" s="27">
        <v>2.1800000000000002</v>
      </c>
      <c r="N300" s="1" t="s">
        <v>594</v>
      </c>
      <c r="O300" s="27">
        <v>91887.83</v>
      </c>
    </row>
    <row r="301" spans="1:15">
      <c r="A301" s="27" t="s">
        <v>97</v>
      </c>
      <c r="B301" s="27">
        <v>27</v>
      </c>
      <c r="C301" s="27" t="s">
        <v>541</v>
      </c>
      <c r="D301" s="27" t="s">
        <v>549</v>
      </c>
      <c r="E301" s="27">
        <v>2022</v>
      </c>
      <c r="F301" s="28">
        <v>2.4</v>
      </c>
      <c r="G301" s="27">
        <v>7.1</v>
      </c>
      <c r="H301" s="28">
        <v>3</v>
      </c>
      <c r="I301" s="28">
        <v>9.6</v>
      </c>
      <c r="J301" s="28">
        <v>4.0999999999999996</v>
      </c>
      <c r="K301" s="27" t="s">
        <v>572</v>
      </c>
      <c r="L301" s="27">
        <v>2</v>
      </c>
      <c r="M301" s="27">
        <v>27.05</v>
      </c>
      <c r="N301" s="1" t="s">
        <v>591</v>
      </c>
      <c r="O301" s="27">
        <v>89145.52</v>
      </c>
    </row>
    <row r="302" spans="1:15">
      <c r="A302" s="27" t="s">
        <v>319</v>
      </c>
      <c r="B302" s="27">
        <v>64</v>
      </c>
      <c r="C302" s="27" t="s">
        <v>543</v>
      </c>
      <c r="D302" s="27" t="s">
        <v>553</v>
      </c>
      <c r="E302" s="27">
        <v>2024</v>
      </c>
      <c r="F302" s="28">
        <v>0.2</v>
      </c>
      <c r="G302" s="27">
        <v>7.8</v>
      </c>
      <c r="H302" s="28">
        <v>4.0999999999999996</v>
      </c>
      <c r="I302" s="28">
        <v>8.6</v>
      </c>
      <c r="J302" s="28">
        <v>8.5</v>
      </c>
      <c r="K302" s="27" t="s">
        <v>578</v>
      </c>
      <c r="L302" s="27">
        <v>6</v>
      </c>
      <c r="M302" s="27">
        <v>4.63</v>
      </c>
      <c r="N302" s="1" t="s">
        <v>592</v>
      </c>
      <c r="O302" s="27">
        <v>88049.25</v>
      </c>
    </row>
    <row r="303" spans="1:15">
      <c r="A303" s="27" t="s">
        <v>458</v>
      </c>
      <c r="B303" s="27">
        <v>81</v>
      </c>
      <c r="C303" s="27" t="s">
        <v>543</v>
      </c>
      <c r="D303" s="27" t="s">
        <v>553</v>
      </c>
      <c r="E303" s="27">
        <v>2024</v>
      </c>
      <c r="F303" s="28">
        <v>5.4</v>
      </c>
      <c r="G303" s="27">
        <v>5.2</v>
      </c>
      <c r="H303" s="28">
        <v>6.1</v>
      </c>
      <c r="I303" s="28">
        <v>3.1</v>
      </c>
      <c r="J303" s="28">
        <v>8</v>
      </c>
      <c r="K303" s="27" t="s">
        <v>574</v>
      </c>
      <c r="L303" s="27">
        <v>5</v>
      </c>
      <c r="M303" s="27">
        <v>5.58</v>
      </c>
      <c r="N303" s="1" t="s">
        <v>592</v>
      </c>
      <c r="O303" s="27">
        <v>67161.36</v>
      </c>
    </row>
    <row r="304" spans="1:15">
      <c r="A304" s="27" t="s">
        <v>84</v>
      </c>
      <c r="B304" s="27">
        <v>52</v>
      </c>
      <c r="C304" s="27" t="s">
        <v>541</v>
      </c>
      <c r="D304" s="27" t="s">
        <v>554</v>
      </c>
      <c r="E304" s="27">
        <v>2022</v>
      </c>
      <c r="F304" s="28">
        <v>8.4</v>
      </c>
      <c r="G304" s="27">
        <v>6.5</v>
      </c>
      <c r="H304" s="28">
        <v>5.0696969696969703</v>
      </c>
      <c r="I304" s="28">
        <v>0.1</v>
      </c>
      <c r="J304" s="28">
        <v>2.7</v>
      </c>
      <c r="K304" s="27" t="s">
        <v>576</v>
      </c>
      <c r="L304" s="27">
        <v>6</v>
      </c>
      <c r="M304" s="27">
        <v>4.2</v>
      </c>
      <c r="N304" s="1" t="s">
        <v>592</v>
      </c>
      <c r="O304" s="27">
        <v>75495.960000000006</v>
      </c>
    </row>
    <row r="305" spans="1:15">
      <c r="A305" s="27" t="s">
        <v>60</v>
      </c>
      <c r="B305" s="27">
        <v>74</v>
      </c>
      <c r="C305" s="27" t="s">
        <v>542</v>
      </c>
      <c r="D305" s="27" t="s">
        <v>555</v>
      </c>
      <c r="E305" s="27">
        <v>2024</v>
      </c>
      <c r="F305" s="28">
        <v>4.4000000000000004</v>
      </c>
      <c r="G305" s="27">
        <v>1.5</v>
      </c>
      <c r="H305" s="28">
        <v>4.7586666666666675</v>
      </c>
      <c r="I305" s="28">
        <v>8.9</v>
      </c>
      <c r="J305" s="28">
        <v>7.7</v>
      </c>
      <c r="K305" s="27" t="s">
        <v>573</v>
      </c>
      <c r="L305" s="27">
        <v>5</v>
      </c>
      <c r="M305" s="27">
        <v>5.08</v>
      </c>
      <c r="N305" s="1" t="s">
        <v>592</v>
      </c>
      <c r="O305" s="27">
        <v>34799.15</v>
      </c>
    </row>
    <row r="306" spans="1:15">
      <c r="A306" s="27" t="s">
        <v>483</v>
      </c>
      <c r="B306" s="27">
        <v>85</v>
      </c>
      <c r="C306" s="27" t="s">
        <v>542</v>
      </c>
      <c r="D306" s="27" t="s">
        <v>549</v>
      </c>
      <c r="E306" s="27">
        <v>2023</v>
      </c>
      <c r="F306" s="28">
        <v>4.9000000000000004</v>
      </c>
      <c r="G306" s="27">
        <v>9.1</v>
      </c>
      <c r="H306" s="28">
        <v>7.3</v>
      </c>
      <c r="I306" s="28">
        <v>8.8000000000000007</v>
      </c>
      <c r="J306" s="28">
        <v>5.2</v>
      </c>
      <c r="K306" s="27" t="s">
        <v>571</v>
      </c>
      <c r="L306" s="27">
        <v>4</v>
      </c>
      <c r="M306" s="27">
        <v>7.58</v>
      </c>
      <c r="N306" s="1" t="s">
        <v>590</v>
      </c>
      <c r="O306" s="27">
        <v>6988.99</v>
      </c>
    </row>
    <row r="307" spans="1:15">
      <c r="A307" s="27" t="s">
        <v>398</v>
      </c>
      <c r="B307" s="27">
        <v>40</v>
      </c>
      <c r="C307" s="27" t="s">
        <v>542</v>
      </c>
      <c r="D307" s="27" t="s">
        <v>549</v>
      </c>
      <c r="E307" s="27">
        <v>2022</v>
      </c>
      <c r="F307" s="28">
        <v>2.2999999999999998</v>
      </c>
      <c r="G307" s="27">
        <v>0.8</v>
      </c>
      <c r="H307" s="28">
        <v>10</v>
      </c>
      <c r="I307" s="28">
        <v>1.5</v>
      </c>
      <c r="J307" s="28">
        <v>5.4441176470588246</v>
      </c>
      <c r="K307" s="27" t="s">
        <v>571</v>
      </c>
      <c r="L307" s="27">
        <v>6</v>
      </c>
      <c r="M307" s="27">
        <v>4.2300000000000004</v>
      </c>
      <c r="N307" s="1" t="s">
        <v>592</v>
      </c>
      <c r="O307" s="27">
        <v>32580.31</v>
      </c>
    </row>
    <row r="308" spans="1:15">
      <c r="A308" s="27" t="s">
        <v>187</v>
      </c>
      <c r="B308" s="27">
        <v>63</v>
      </c>
      <c r="C308" s="27" t="s">
        <v>541</v>
      </c>
      <c r="D308" s="27" t="s">
        <v>554</v>
      </c>
      <c r="E308" s="27">
        <v>2022</v>
      </c>
      <c r="F308" s="28">
        <v>1.9</v>
      </c>
      <c r="G308" s="27">
        <v>3.1</v>
      </c>
      <c r="H308" s="28">
        <v>0.1</v>
      </c>
      <c r="I308" s="28">
        <v>0.2</v>
      </c>
      <c r="J308" s="28">
        <v>5.9</v>
      </c>
      <c r="K308" s="27" t="s">
        <v>576</v>
      </c>
      <c r="L308" s="27">
        <v>7</v>
      </c>
      <c r="M308" s="27">
        <v>3.11</v>
      </c>
      <c r="N308" s="1" t="s">
        <v>594</v>
      </c>
      <c r="O308" s="27">
        <v>19221.93</v>
      </c>
    </row>
    <row r="309" spans="1:15">
      <c r="A309" s="27" t="s">
        <v>425</v>
      </c>
      <c r="B309" s="27">
        <v>23</v>
      </c>
      <c r="C309" s="27" t="s">
        <v>543</v>
      </c>
      <c r="D309" s="27" t="s">
        <v>553</v>
      </c>
      <c r="E309" s="27">
        <v>2023</v>
      </c>
      <c r="F309" s="28">
        <v>1.7</v>
      </c>
      <c r="G309" s="27">
        <v>9.5</v>
      </c>
      <c r="H309" s="28">
        <v>0.5</v>
      </c>
      <c r="I309" s="28">
        <v>5.2</v>
      </c>
      <c r="J309" s="28">
        <v>4.3</v>
      </c>
      <c r="K309" s="27" t="s">
        <v>576</v>
      </c>
      <c r="L309" s="27">
        <v>5</v>
      </c>
      <c r="M309" s="27">
        <v>4.75</v>
      </c>
      <c r="N309" s="1" t="s">
        <v>592</v>
      </c>
      <c r="O309" s="27">
        <v>27933.85</v>
      </c>
    </row>
    <row r="310" spans="1:15">
      <c r="A310" s="27" t="s">
        <v>61</v>
      </c>
      <c r="B310" s="27">
        <v>58</v>
      </c>
      <c r="C310" s="27" t="s">
        <v>542</v>
      </c>
      <c r="D310" s="27" t="s">
        <v>551</v>
      </c>
      <c r="E310" s="27">
        <v>2022</v>
      </c>
      <c r="F310" s="28">
        <v>1.7</v>
      </c>
      <c r="G310" s="27">
        <v>4.8</v>
      </c>
      <c r="H310" s="28">
        <v>3.2</v>
      </c>
      <c r="I310" s="28">
        <v>0.3</v>
      </c>
      <c r="J310" s="28">
        <v>6.1</v>
      </c>
      <c r="K310" s="27" t="s">
        <v>578</v>
      </c>
      <c r="L310" s="27">
        <v>7</v>
      </c>
      <c r="M310" s="27">
        <v>2.0299999999999998</v>
      </c>
      <c r="N310" s="1" t="s">
        <v>594</v>
      </c>
      <c r="O310" s="27">
        <v>87999.42</v>
      </c>
    </row>
    <row r="311" spans="1:15">
      <c r="A311" s="27" t="s">
        <v>53</v>
      </c>
      <c r="B311" s="27">
        <v>88</v>
      </c>
      <c r="C311" s="27" t="s">
        <v>541</v>
      </c>
      <c r="D311" s="27" t="s">
        <v>554</v>
      </c>
      <c r="E311" s="27">
        <v>2022</v>
      </c>
      <c r="F311" s="28">
        <v>3.2</v>
      </c>
      <c r="G311" s="27">
        <v>2</v>
      </c>
      <c r="H311" s="28">
        <v>4.5</v>
      </c>
      <c r="I311" s="28">
        <v>5.0999999999999996</v>
      </c>
      <c r="J311" s="28">
        <v>9.9</v>
      </c>
      <c r="K311" s="27" t="s">
        <v>570</v>
      </c>
      <c r="L311" s="27">
        <v>6</v>
      </c>
      <c r="M311" s="27">
        <v>4.09</v>
      </c>
      <c r="N311" s="1" t="s">
        <v>592</v>
      </c>
      <c r="O311" s="27">
        <v>53485.85</v>
      </c>
    </row>
    <row r="312" spans="1:15">
      <c r="A312" s="27" t="s">
        <v>303</v>
      </c>
      <c r="B312" s="27">
        <v>80</v>
      </c>
      <c r="C312" s="27" t="s">
        <v>542</v>
      </c>
      <c r="D312" s="27" t="s">
        <v>551</v>
      </c>
      <c r="E312" s="27">
        <v>2023</v>
      </c>
      <c r="F312" s="28">
        <v>1.6</v>
      </c>
      <c r="G312" s="27">
        <v>1.2</v>
      </c>
      <c r="H312" s="28">
        <v>9.6999999999999993</v>
      </c>
      <c r="I312" s="28">
        <v>7.8</v>
      </c>
      <c r="J312" s="28">
        <v>9.1</v>
      </c>
      <c r="K312" s="27" t="s">
        <v>570</v>
      </c>
      <c r="L312" s="27">
        <v>6</v>
      </c>
      <c r="M312" s="27">
        <v>5.14</v>
      </c>
      <c r="N312" s="1" t="s">
        <v>592</v>
      </c>
      <c r="O312" s="27">
        <v>64187.32</v>
      </c>
    </row>
    <row r="313" spans="1:15">
      <c r="A313" s="27" t="s">
        <v>177</v>
      </c>
      <c r="B313" s="27">
        <v>58</v>
      </c>
      <c r="C313" s="27" t="s">
        <v>542</v>
      </c>
      <c r="D313" s="27" t="s">
        <v>549</v>
      </c>
      <c r="E313" s="27">
        <v>2023</v>
      </c>
      <c r="F313" s="28">
        <v>1.3</v>
      </c>
      <c r="G313" s="27">
        <v>8.6</v>
      </c>
      <c r="H313" s="28">
        <v>9.8000000000000007</v>
      </c>
      <c r="I313" s="28">
        <v>6.6</v>
      </c>
      <c r="J313" s="28">
        <v>3</v>
      </c>
      <c r="K313" s="27" t="s">
        <v>571</v>
      </c>
      <c r="L313" s="27">
        <v>5</v>
      </c>
      <c r="M313" s="27">
        <v>5.03</v>
      </c>
      <c r="N313" s="1" t="s">
        <v>592</v>
      </c>
      <c r="O313" s="27">
        <v>80716.69</v>
      </c>
    </row>
    <row r="314" spans="1:15">
      <c r="A314" s="27" t="s">
        <v>89</v>
      </c>
      <c r="B314" s="27">
        <v>72</v>
      </c>
      <c r="C314" s="27" t="s">
        <v>541</v>
      </c>
      <c r="D314" s="27" t="s">
        <v>553</v>
      </c>
      <c r="E314" s="27">
        <v>2023</v>
      </c>
      <c r="F314" s="28">
        <v>6.8</v>
      </c>
      <c r="G314" s="27">
        <v>5.4</v>
      </c>
      <c r="H314" s="28">
        <v>8.8000000000000007</v>
      </c>
      <c r="I314" s="28">
        <v>4.5</v>
      </c>
      <c r="J314" s="28">
        <v>4.4600000000000009</v>
      </c>
      <c r="K314" s="27" t="s">
        <v>579</v>
      </c>
      <c r="L314" s="27">
        <v>5</v>
      </c>
      <c r="M314" s="27">
        <v>5.52</v>
      </c>
      <c r="N314" s="1" t="s">
        <v>592</v>
      </c>
      <c r="O314" s="27">
        <v>90585.78</v>
      </c>
    </row>
    <row r="315" spans="1:15">
      <c r="A315" s="27" t="s">
        <v>116</v>
      </c>
      <c r="B315" s="27">
        <v>37</v>
      </c>
      <c r="C315" s="27" t="s">
        <v>546</v>
      </c>
      <c r="D315" s="27" t="s">
        <v>549</v>
      </c>
      <c r="E315" s="27">
        <v>2024</v>
      </c>
      <c r="F315" s="28">
        <v>5.0999999999999996</v>
      </c>
      <c r="G315" s="27">
        <v>8.4</v>
      </c>
      <c r="H315" s="28">
        <v>9.6999999999999993</v>
      </c>
      <c r="I315" s="28">
        <v>8</v>
      </c>
      <c r="J315" s="28">
        <v>4.8</v>
      </c>
      <c r="K315" s="27" t="s">
        <v>579</v>
      </c>
      <c r="L315" s="27">
        <v>3</v>
      </c>
      <c r="M315" s="27">
        <v>6.76</v>
      </c>
      <c r="N315" s="1" t="s">
        <v>590</v>
      </c>
      <c r="O315" s="27">
        <v>51133.24</v>
      </c>
    </row>
    <row r="316" spans="1:15">
      <c r="A316" s="27" t="s">
        <v>102</v>
      </c>
      <c r="B316" s="27">
        <v>77</v>
      </c>
      <c r="C316" s="27" t="s">
        <v>541</v>
      </c>
      <c r="D316" s="27" t="s">
        <v>672</v>
      </c>
      <c r="E316" s="27">
        <v>2022</v>
      </c>
      <c r="F316" s="28">
        <v>5.5972602739726005</v>
      </c>
      <c r="G316" s="27">
        <v>1.6</v>
      </c>
      <c r="H316" s="28">
        <v>5.3</v>
      </c>
      <c r="I316" s="28">
        <v>8.9</v>
      </c>
      <c r="J316" s="28">
        <v>0.7</v>
      </c>
      <c r="K316" s="27" t="s">
        <v>546</v>
      </c>
      <c r="L316" s="27">
        <v>5</v>
      </c>
      <c r="M316" s="27">
        <v>4.2300000000000004</v>
      </c>
      <c r="N316" s="1" t="s">
        <v>592</v>
      </c>
      <c r="O316" s="27">
        <v>38966.050000000003</v>
      </c>
    </row>
    <row r="317" spans="1:15">
      <c r="A317" s="27" t="s">
        <v>380</v>
      </c>
      <c r="B317" s="27">
        <v>86</v>
      </c>
      <c r="C317" s="27" t="s">
        <v>546</v>
      </c>
      <c r="D317" s="27" t="s">
        <v>645</v>
      </c>
      <c r="E317" s="27">
        <v>2023</v>
      </c>
      <c r="F317" s="28">
        <v>3.7</v>
      </c>
      <c r="G317" s="27">
        <v>2.2999999999999998</v>
      </c>
      <c r="H317" s="28">
        <v>5.8</v>
      </c>
      <c r="I317" s="28">
        <v>1.5</v>
      </c>
      <c r="J317" s="28">
        <v>1.2</v>
      </c>
      <c r="K317" s="27" t="s">
        <v>578</v>
      </c>
      <c r="L317" s="27">
        <v>7</v>
      </c>
      <c r="M317" s="27">
        <v>3.36</v>
      </c>
      <c r="N317" s="1" t="s">
        <v>594</v>
      </c>
      <c r="O317" s="27">
        <v>50549.34</v>
      </c>
    </row>
    <row r="318" spans="1:15">
      <c r="A318" s="27" t="s">
        <v>503</v>
      </c>
      <c r="B318" s="27">
        <v>52</v>
      </c>
      <c r="C318" s="27" t="s">
        <v>542</v>
      </c>
      <c r="D318" s="27" t="s">
        <v>550</v>
      </c>
      <c r="E318" s="27">
        <v>2023</v>
      </c>
      <c r="F318" s="28">
        <v>1.6</v>
      </c>
      <c r="G318" s="27">
        <v>3.2</v>
      </c>
      <c r="H318" s="28">
        <v>6.1</v>
      </c>
      <c r="I318" s="28">
        <v>6.5</v>
      </c>
      <c r="J318" s="28">
        <v>8.4</v>
      </c>
      <c r="K318" s="27" t="s">
        <v>570</v>
      </c>
      <c r="L318" s="27">
        <v>5</v>
      </c>
      <c r="M318" s="27">
        <v>4.2699999999999996</v>
      </c>
      <c r="N318" s="1" t="s">
        <v>592</v>
      </c>
      <c r="O318" s="27">
        <v>79432.58</v>
      </c>
    </row>
    <row r="319" spans="1:15">
      <c r="A319" s="27" t="s">
        <v>399</v>
      </c>
      <c r="B319" s="27">
        <v>75</v>
      </c>
      <c r="C319" s="27" t="s">
        <v>541</v>
      </c>
      <c r="D319" s="27" t="s">
        <v>555</v>
      </c>
      <c r="E319" s="27">
        <v>2022</v>
      </c>
      <c r="F319" s="28">
        <v>6.4</v>
      </c>
      <c r="G319" s="27">
        <v>0.6</v>
      </c>
      <c r="H319" s="28">
        <v>5.1065573770491817</v>
      </c>
      <c r="I319" s="28">
        <v>4.9000000000000004</v>
      </c>
      <c r="J319" s="28">
        <v>5.4312500000000012</v>
      </c>
      <c r="K319" s="27" t="s">
        <v>572</v>
      </c>
      <c r="L319" s="27">
        <v>4</v>
      </c>
      <c r="M319" s="27">
        <v>6.59</v>
      </c>
      <c r="N319" s="1" t="s">
        <v>590</v>
      </c>
      <c r="O319" s="27">
        <v>8917.57</v>
      </c>
    </row>
    <row r="320" spans="1:15">
      <c r="A320" s="27" t="s">
        <v>123</v>
      </c>
      <c r="B320" s="27">
        <v>74</v>
      </c>
      <c r="C320" s="27" t="s">
        <v>542</v>
      </c>
      <c r="D320" s="27" t="s">
        <v>549</v>
      </c>
      <c r="E320" s="27">
        <v>2023</v>
      </c>
      <c r="F320" s="28">
        <v>10</v>
      </c>
      <c r="G320" s="27">
        <v>9.1</v>
      </c>
      <c r="H320" s="28">
        <v>5.6</v>
      </c>
      <c r="I320" s="28">
        <v>0.4</v>
      </c>
      <c r="J320" s="28">
        <v>1.3</v>
      </c>
      <c r="K320" s="27" t="s">
        <v>579</v>
      </c>
      <c r="L320" s="27">
        <v>4</v>
      </c>
      <c r="M320" s="27">
        <v>6.18</v>
      </c>
      <c r="N320" s="1" t="s">
        <v>590</v>
      </c>
      <c r="O320" s="27">
        <v>11654.44</v>
      </c>
    </row>
    <row r="321" spans="1:15">
      <c r="A321" s="27" t="s">
        <v>416</v>
      </c>
      <c r="B321" s="27">
        <v>75</v>
      </c>
      <c r="C321" s="27" t="s">
        <v>541</v>
      </c>
      <c r="D321" s="27" t="s">
        <v>553</v>
      </c>
      <c r="E321" s="27">
        <v>2024</v>
      </c>
      <c r="F321" s="28">
        <v>8.1</v>
      </c>
      <c r="G321" s="27">
        <v>5.8</v>
      </c>
      <c r="H321" s="28">
        <v>2.6</v>
      </c>
      <c r="I321" s="28">
        <v>5.0999999999999996</v>
      </c>
      <c r="J321" s="28">
        <v>0.7</v>
      </c>
      <c r="K321" s="27" t="s">
        <v>571</v>
      </c>
      <c r="L321" s="27">
        <v>5</v>
      </c>
      <c r="M321" s="27">
        <v>4.97</v>
      </c>
      <c r="N321" s="1" t="s">
        <v>592</v>
      </c>
      <c r="O321" s="27">
        <v>49998.31</v>
      </c>
    </row>
    <row r="322" spans="1:15">
      <c r="A322" s="27" t="s">
        <v>42</v>
      </c>
      <c r="B322" s="27">
        <v>57</v>
      </c>
      <c r="C322" s="27" t="s">
        <v>543</v>
      </c>
      <c r="D322" s="27" t="s">
        <v>551</v>
      </c>
      <c r="E322" s="27">
        <v>2023</v>
      </c>
      <c r="F322" s="28">
        <v>7.4</v>
      </c>
      <c r="G322" s="27">
        <v>9</v>
      </c>
      <c r="H322" s="28">
        <v>8.6999999999999993</v>
      </c>
      <c r="I322" s="28">
        <v>0.6</v>
      </c>
      <c r="J322" s="28">
        <v>4.9000000000000004</v>
      </c>
      <c r="K322" s="27" t="s">
        <v>573</v>
      </c>
      <c r="L322" s="27">
        <v>4</v>
      </c>
      <c r="M322" s="27">
        <v>6.58</v>
      </c>
      <c r="N322" s="1" t="s">
        <v>590</v>
      </c>
      <c r="O322" s="27">
        <v>8020.23</v>
      </c>
    </row>
    <row r="323" spans="1:15">
      <c r="A323" s="27" t="s">
        <v>346</v>
      </c>
      <c r="B323" s="27">
        <v>45</v>
      </c>
      <c r="C323" s="27" t="s">
        <v>543</v>
      </c>
      <c r="D323" s="27" t="s">
        <v>551</v>
      </c>
      <c r="E323" s="27">
        <v>2024</v>
      </c>
      <c r="F323" s="28">
        <v>2.4</v>
      </c>
      <c r="G323" s="27">
        <v>5.8</v>
      </c>
      <c r="H323" s="28">
        <v>6.2</v>
      </c>
      <c r="I323" s="28">
        <v>0.9</v>
      </c>
      <c r="J323" s="28">
        <v>7.9</v>
      </c>
      <c r="K323" s="27" t="s">
        <v>578</v>
      </c>
      <c r="L323" s="27">
        <v>8</v>
      </c>
      <c r="M323" s="27">
        <v>3.54</v>
      </c>
      <c r="N323" s="1" t="s">
        <v>594</v>
      </c>
      <c r="O323" s="27">
        <v>85437.59</v>
      </c>
    </row>
    <row r="324" spans="1:15">
      <c r="A324" s="27" t="s">
        <v>264</v>
      </c>
      <c r="B324" s="27">
        <v>41</v>
      </c>
      <c r="C324" s="27" t="s">
        <v>542</v>
      </c>
      <c r="D324" s="27" t="s">
        <v>549</v>
      </c>
      <c r="E324" s="27">
        <v>2023</v>
      </c>
      <c r="F324" s="28">
        <v>1.8</v>
      </c>
      <c r="G324" s="27">
        <v>3.5</v>
      </c>
      <c r="H324" s="28">
        <v>4.5</v>
      </c>
      <c r="I324" s="28">
        <v>9</v>
      </c>
      <c r="J324" s="28">
        <v>5.7</v>
      </c>
      <c r="K324" s="27" t="s">
        <v>574</v>
      </c>
      <c r="L324" s="27">
        <v>8</v>
      </c>
      <c r="M324" s="27">
        <v>3.94</v>
      </c>
      <c r="N324" s="1" t="s">
        <v>594</v>
      </c>
      <c r="O324" s="27">
        <v>99313.48</v>
      </c>
    </row>
    <row r="325" spans="1:15">
      <c r="A325" s="27" t="s">
        <v>509</v>
      </c>
      <c r="B325" s="27">
        <v>61</v>
      </c>
      <c r="C325" s="27" t="s">
        <v>543</v>
      </c>
      <c r="D325" s="27" t="s">
        <v>549</v>
      </c>
      <c r="E325" s="27">
        <v>2022</v>
      </c>
      <c r="F325" s="28">
        <v>5</v>
      </c>
      <c r="G325" s="27">
        <v>1.2</v>
      </c>
      <c r="H325" s="28">
        <v>3.8</v>
      </c>
      <c r="I325" s="28">
        <v>1.3</v>
      </c>
      <c r="J325" s="28">
        <v>9.8000000000000007</v>
      </c>
      <c r="K325" s="27" t="s">
        <v>571</v>
      </c>
      <c r="L325" s="27">
        <v>8</v>
      </c>
      <c r="M325" s="27">
        <v>2.61</v>
      </c>
      <c r="N325" s="1" t="s">
        <v>594</v>
      </c>
      <c r="O325" s="27">
        <v>78171.55</v>
      </c>
    </row>
    <row r="326" spans="1:15">
      <c r="A326" s="27" t="s">
        <v>15</v>
      </c>
      <c r="B326" s="27">
        <v>65</v>
      </c>
      <c r="C326" s="27" t="s">
        <v>542</v>
      </c>
      <c r="D326" s="27" t="s">
        <v>550</v>
      </c>
      <c r="E326" s="27">
        <v>2024</v>
      </c>
      <c r="F326" s="28">
        <v>3</v>
      </c>
      <c r="G326" s="27">
        <v>5</v>
      </c>
      <c r="H326" s="28">
        <v>8.8000000000000007</v>
      </c>
      <c r="I326" s="28">
        <v>1.3</v>
      </c>
      <c r="J326" s="28">
        <v>9.3000000000000007</v>
      </c>
      <c r="K326" s="27" t="s">
        <v>570</v>
      </c>
      <c r="L326" s="27">
        <v>5</v>
      </c>
      <c r="M326" s="27">
        <v>5.28</v>
      </c>
      <c r="N326" s="1" t="s">
        <v>592</v>
      </c>
      <c r="O326" s="27">
        <v>29099.39</v>
      </c>
    </row>
    <row r="327" spans="1:15">
      <c r="A327" s="27" t="s">
        <v>147</v>
      </c>
      <c r="B327" s="27">
        <v>87</v>
      </c>
      <c r="C327" s="27" t="s">
        <v>546</v>
      </c>
      <c r="D327" s="27" t="s">
        <v>551</v>
      </c>
      <c r="E327" s="27">
        <v>2023</v>
      </c>
      <c r="F327" s="28">
        <v>5.9</v>
      </c>
      <c r="G327" s="27">
        <v>0.3</v>
      </c>
      <c r="H327" s="28">
        <v>6.7</v>
      </c>
      <c r="I327" s="28">
        <v>1.6</v>
      </c>
      <c r="J327" s="28">
        <v>6.1</v>
      </c>
      <c r="K327" s="27" t="s">
        <v>579</v>
      </c>
      <c r="L327" s="27">
        <v>6</v>
      </c>
      <c r="M327" s="27">
        <v>4.71</v>
      </c>
      <c r="N327" s="1" t="s">
        <v>592</v>
      </c>
      <c r="O327" s="27">
        <v>22634.400000000001</v>
      </c>
    </row>
    <row r="328" spans="1:15">
      <c r="A328" s="27" t="s">
        <v>269</v>
      </c>
      <c r="B328" s="27">
        <v>46</v>
      </c>
      <c r="C328" s="27" t="s">
        <v>543</v>
      </c>
      <c r="D328" s="27" t="s">
        <v>551</v>
      </c>
      <c r="E328" s="27">
        <v>2022</v>
      </c>
      <c r="F328" s="28">
        <v>6.2</v>
      </c>
      <c r="G328" s="27">
        <v>7.5</v>
      </c>
      <c r="H328" s="28">
        <v>4</v>
      </c>
      <c r="I328" s="28">
        <v>4.7966666666666669</v>
      </c>
      <c r="J328" s="28">
        <v>5.5</v>
      </c>
      <c r="K328" s="27" t="s">
        <v>546</v>
      </c>
      <c r="L328" s="27">
        <v>3</v>
      </c>
      <c r="M328" s="27">
        <v>7.17</v>
      </c>
      <c r="N328" s="1" t="s">
        <v>590</v>
      </c>
      <c r="O328" s="27">
        <v>15458.23</v>
      </c>
    </row>
    <row r="329" spans="1:15">
      <c r="A329" s="27" t="s">
        <v>330</v>
      </c>
      <c r="B329" s="27">
        <v>72</v>
      </c>
      <c r="C329" s="27" t="s">
        <v>542</v>
      </c>
      <c r="D329" s="27" t="s">
        <v>549</v>
      </c>
      <c r="E329" s="27">
        <v>2024</v>
      </c>
      <c r="F329" s="28">
        <v>7.8</v>
      </c>
      <c r="G329" s="27">
        <v>5.0999999999999996</v>
      </c>
      <c r="H329" s="28">
        <v>5.9</v>
      </c>
      <c r="I329" s="28">
        <v>3.4</v>
      </c>
      <c r="J329" s="28">
        <v>4.7</v>
      </c>
      <c r="K329" s="27" t="s">
        <v>570</v>
      </c>
      <c r="L329" s="27">
        <v>5</v>
      </c>
      <c r="M329" s="27">
        <v>4.41</v>
      </c>
      <c r="N329" s="1" t="s">
        <v>592</v>
      </c>
      <c r="O329" s="27">
        <v>72526.740000000005</v>
      </c>
    </row>
    <row r="330" spans="1:15">
      <c r="A330" s="27" t="s">
        <v>440</v>
      </c>
      <c r="B330" s="27">
        <v>78</v>
      </c>
      <c r="C330" s="27" t="s">
        <v>543</v>
      </c>
      <c r="D330" s="27" t="s">
        <v>645</v>
      </c>
      <c r="E330" s="27">
        <v>2022</v>
      </c>
      <c r="F330" s="28">
        <v>0.9</v>
      </c>
      <c r="G330" s="27">
        <v>2.1</v>
      </c>
      <c r="H330" s="28">
        <v>6.5</v>
      </c>
      <c r="I330" s="28">
        <v>2.4</v>
      </c>
      <c r="J330" s="28">
        <v>6.6</v>
      </c>
      <c r="K330" s="27" t="s">
        <v>576</v>
      </c>
      <c r="L330" s="27">
        <v>7</v>
      </c>
      <c r="M330" s="27">
        <v>3.84</v>
      </c>
      <c r="N330" s="1" t="s">
        <v>594</v>
      </c>
      <c r="O330" s="27">
        <v>38343.64</v>
      </c>
    </row>
    <row r="331" spans="1:15">
      <c r="A331" s="27" t="s">
        <v>477</v>
      </c>
      <c r="B331" s="27">
        <v>60</v>
      </c>
      <c r="C331" s="27" t="s">
        <v>543</v>
      </c>
      <c r="D331" s="27" t="s">
        <v>555</v>
      </c>
      <c r="E331" s="27">
        <v>2023</v>
      </c>
      <c r="F331" s="28">
        <v>1.2</v>
      </c>
      <c r="G331" s="27">
        <v>3.1</v>
      </c>
      <c r="H331" s="28">
        <v>7.4</v>
      </c>
      <c r="I331" s="28">
        <v>2.2000000000000002</v>
      </c>
      <c r="J331" s="28">
        <v>1.5</v>
      </c>
      <c r="K331" s="27" t="s">
        <v>573</v>
      </c>
      <c r="L331" s="27">
        <v>7</v>
      </c>
      <c r="M331" s="27">
        <v>3.66</v>
      </c>
      <c r="N331" s="1" t="s">
        <v>594</v>
      </c>
      <c r="O331" s="27">
        <v>37396.1</v>
      </c>
    </row>
    <row r="332" spans="1:15">
      <c r="A332" s="27" t="s">
        <v>331</v>
      </c>
      <c r="B332" s="27">
        <v>23</v>
      </c>
      <c r="C332" s="27" t="s">
        <v>543</v>
      </c>
      <c r="D332" s="27" t="s">
        <v>549</v>
      </c>
      <c r="E332" s="27">
        <v>2022</v>
      </c>
      <c r="F332" s="28">
        <v>7.8</v>
      </c>
      <c r="G332" s="27">
        <v>9.6999999999999993</v>
      </c>
      <c r="H332" s="28">
        <v>5.7</v>
      </c>
      <c r="I332" s="28">
        <v>0.2</v>
      </c>
      <c r="J332" s="28">
        <v>1.9</v>
      </c>
      <c r="K332" s="27" t="s">
        <v>576</v>
      </c>
      <c r="L332" s="27">
        <v>6</v>
      </c>
      <c r="M332" s="27">
        <v>4.8</v>
      </c>
      <c r="N332" s="1" t="s">
        <v>592</v>
      </c>
      <c r="O332" s="27">
        <v>56113.58</v>
      </c>
    </row>
    <row r="333" spans="1:15">
      <c r="A333" s="27" t="s">
        <v>284</v>
      </c>
      <c r="B333" s="27">
        <v>40</v>
      </c>
      <c r="C333" s="27" t="s">
        <v>543</v>
      </c>
      <c r="D333" s="27" t="s">
        <v>556</v>
      </c>
      <c r="E333" s="27">
        <v>2022</v>
      </c>
      <c r="F333" s="28">
        <v>5.1112499999999974</v>
      </c>
      <c r="G333" s="27">
        <v>0.9</v>
      </c>
      <c r="H333" s="28">
        <v>5</v>
      </c>
      <c r="I333" s="28">
        <v>4.2</v>
      </c>
      <c r="J333" s="28">
        <v>6.2</v>
      </c>
      <c r="K333" s="27" t="s">
        <v>573</v>
      </c>
      <c r="L333" s="27">
        <v>7</v>
      </c>
      <c r="M333" s="27">
        <v>2.99</v>
      </c>
      <c r="N333" s="1" t="s">
        <v>594</v>
      </c>
      <c r="O333" s="27">
        <v>73781.94</v>
      </c>
    </row>
    <row r="334" spans="1:15">
      <c r="A334" s="27" t="s">
        <v>470</v>
      </c>
      <c r="B334" s="27">
        <v>79</v>
      </c>
      <c r="C334" s="27" t="s">
        <v>543</v>
      </c>
      <c r="D334" s="27" t="s">
        <v>551</v>
      </c>
      <c r="E334" s="27">
        <v>2022</v>
      </c>
      <c r="F334" s="28">
        <v>4.2</v>
      </c>
      <c r="G334" s="27">
        <v>2</v>
      </c>
      <c r="H334" s="28">
        <v>5.1160714285714288</v>
      </c>
      <c r="I334" s="28">
        <v>4.9298245614035086</v>
      </c>
      <c r="J334" s="28">
        <v>2.5</v>
      </c>
      <c r="K334" s="27" t="s">
        <v>570</v>
      </c>
      <c r="L334" s="27">
        <v>5</v>
      </c>
      <c r="M334" s="27">
        <v>4.6100000000000003</v>
      </c>
      <c r="N334" s="1" t="s">
        <v>592</v>
      </c>
      <c r="O334" s="27">
        <v>23209.65</v>
      </c>
    </row>
    <row r="335" spans="1:15">
      <c r="A335" s="27" t="s">
        <v>240</v>
      </c>
      <c r="B335" s="27">
        <v>21</v>
      </c>
      <c r="C335" s="27" t="s">
        <v>541</v>
      </c>
      <c r="D335" s="27" t="s">
        <v>551</v>
      </c>
      <c r="E335" s="27">
        <v>2023</v>
      </c>
      <c r="F335" s="28">
        <v>1</v>
      </c>
      <c r="G335" s="27">
        <v>0.4</v>
      </c>
      <c r="H335" s="28">
        <v>4.7</v>
      </c>
      <c r="I335" s="28">
        <v>2.8</v>
      </c>
      <c r="J335" s="28">
        <v>7</v>
      </c>
      <c r="K335" s="27" t="s">
        <v>578</v>
      </c>
      <c r="L335" s="27">
        <v>7</v>
      </c>
      <c r="M335" s="27">
        <v>2.69</v>
      </c>
      <c r="N335" s="1" t="s">
        <v>594</v>
      </c>
      <c r="O335" s="27">
        <v>76820.009999999995</v>
      </c>
    </row>
    <row r="336" spans="1:15">
      <c r="A336" s="27" t="s">
        <v>323</v>
      </c>
      <c r="B336" s="27">
        <v>77</v>
      </c>
      <c r="C336" s="27" t="s">
        <v>542</v>
      </c>
      <c r="D336" s="27" t="s">
        <v>550</v>
      </c>
      <c r="E336" s="27">
        <v>2023</v>
      </c>
      <c r="F336" s="28">
        <v>7</v>
      </c>
      <c r="G336" s="27">
        <v>1</v>
      </c>
      <c r="H336" s="28">
        <v>0.3</v>
      </c>
      <c r="I336" s="28">
        <v>4.5</v>
      </c>
      <c r="J336" s="28">
        <v>2.1</v>
      </c>
      <c r="K336" s="27" t="s">
        <v>576</v>
      </c>
      <c r="L336" s="27">
        <v>7</v>
      </c>
      <c r="M336" s="27">
        <v>3.31</v>
      </c>
      <c r="N336" s="1" t="s">
        <v>594</v>
      </c>
      <c r="O336" s="27">
        <v>69508.62</v>
      </c>
    </row>
    <row r="337" spans="1:15">
      <c r="A337" s="27" t="s">
        <v>135</v>
      </c>
      <c r="B337" s="27">
        <v>76</v>
      </c>
      <c r="C337" s="27" t="s">
        <v>542</v>
      </c>
      <c r="D337" s="27" t="s">
        <v>551</v>
      </c>
      <c r="E337" s="27">
        <v>2022</v>
      </c>
      <c r="F337" s="28">
        <v>3.2</v>
      </c>
      <c r="G337" s="27">
        <v>1.6</v>
      </c>
      <c r="H337" s="28">
        <v>0.9</v>
      </c>
      <c r="I337" s="28">
        <v>4.7</v>
      </c>
      <c r="J337" s="28">
        <v>8.5</v>
      </c>
      <c r="K337" s="27" t="s">
        <v>573</v>
      </c>
      <c r="L337" s="27">
        <v>7</v>
      </c>
      <c r="M337" s="27">
        <v>2.86</v>
      </c>
      <c r="N337" s="1" t="s">
        <v>594</v>
      </c>
      <c r="O337" s="27">
        <v>97028.74</v>
      </c>
    </row>
    <row r="338" spans="1:15">
      <c r="A338" s="27" t="s">
        <v>457</v>
      </c>
      <c r="B338" s="27">
        <v>68</v>
      </c>
      <c r="C338" s="27" t="s">
        <v>541</v>
      </c>
      <c r="D338" s="27" t="s">
        <v>555</v>
      </c>
      <c r="E338" s="27">
        <v>2024</v>
      </c>
      <c r="F338" s="28">
        <v>9.5</v>
      </c>
      <c r="G338" s="27">
        <v>8.4</v>
      </c>
      <c r="H338" s="28">
        <v>1.6</v>
      </c>
      <c r="I338" s="28">
        <v>1.1000000000000001</v>
      </c>
      <c r="J338" s="28">
        <v>8.8000000000000007</v>
      </c>
      <c r="K338" s="27" t="s">
        <v>578</v>
      </c>
      <c r="L338" s="27">
        <v>6</v>
      </c>
      <c r="M338" s="27">
        <v>5.36</v>
      </c>
      <c r="N338" s="1" t="s">
        <v>592</v>
      </c>
      <c r="O338" s="27">
        <v>57079.58</v>
      </c>
    </row>
    <row r="339" spans="1:15">
      <c r="A339" s="27" t="s">
        <v>154</v>
      </c>
      <c r="B339" s="27">
        <v>71</v>
      </c>
      <c r="C339" s="27" t="s">
        <v>543</v>
      </c>
      <c r="D339" s="27" t="s">
        <v>552</v>
      </c>
      <c r="E339" s="27">
        <v>2024</v>
      </c>
      <c r="F339" s="28">
        <v>4</v>
      </c>
      <c r="G339" s="27">
        <v>3.6</v>
      </c>
      <c r="H339" s="28">
        <v>4.6681159420289857</v>
      </c>
      <c r="I339" s="28">
        <v>8.9</v>
      </c>
      <c r="J339" s="28">
        <v>3</v>
      </c>
      <c r="K339" s="27" t="s">
        <v>573</v>
      </c>
      <c r="L339" s="27">
        <v>5</v>
      </c>
      <c r="M339" s="27">
        <v>4.74</v>
      </c>
      <c r="N339" s="1" t="s">
        <v>592</v>
      </c>
      <c r="O339" s="27">
        <v>59719.16</v>
      </c>
    </row>
    <row r="340" spans="1:15">
      <c r="A340" s="27" t="s">
        <v>510</v>
      </c>
      <c r="B340" s="27">
        <v>39</v>
      </c>
      <c r="C340" s="27" t="s">
        <v>541</v>
      </c>
      <c r="D340" s="27" t="s">
        <v>549</v>
      </c>
      <c r="E340" s="27">
        <v>2024</v>
      </c>
      <c r="F340" s="28">
        <v>4.5999999999999996</v>
      </c>
      <c r="G340" s="27">
        <v>2.2000000000000002</v>
      </c>
      <c r="H340" s="28">
        <v>3.6</v>
      </c>
      <c r="I340" s="28">
        <v>8.4</v>
      </c>
      <c r="J340" s="28">
        <v>3.8</v>
      </c>
      <c r="K340" s="27" t="s">
        <v>578</v>
      </c>
      <c r="L340" s="27">
        <v>5</v>
      </c>
      <c r="M340" s="27">
        <v>4.3</v>
      </c>
      <c r="N340" s="1" t="s">
        <v>592</v>
      </c>
      <c r="O340" s="27">
        <v>45072.92</v>
      </c>
    </row>
    <row r="341" spans="1:15">
      <c r="A341" s="27" t="s">
        <v>365</v>
      </c>
      <c r="B341" s="27">
        <v>67</v>
      </c>
      <c r="C341" s="27" t="s">
        <v>541</v>
      </c>
      <c r="D341" s="27" t="s">
        <v>554</v>
      </c>
      <c r="E341" s="27">
        <v>2024</v>
      </c>
      <c r="F341" s="28">
        <v>1.7</v>
      </c>
      <c r="G341" s="27">
        <v>9.8000000000000007</v>
      </c>
      <c r="H341" s="28">
        <v>4.6838235294117645</v>
      </c>
      <c r="I341" s="28">
        <v>6.9</v>
      </c>
      <c r="J341" s="28">
        <v>9.6999999999999993</v>
      </c>
      <c r="K341" s="27" t="s">
        <v>574</v>
      </c>
      <c r="L341" s="27">
        <v>6</v>
      </c>
      <c r="M341" s="27">
        <v>5.18</v>
      </c>
      <c r="N341" s="1" t="s">
        <v>592</v>
      </c>
      <c r="O341" s="27">
        <v>93067.78</v>
      </c>
    </row>
    <row r="342" spans="1:15">
      <c r="A342" s="27" t="s">
        <v>239</v>
      </c>
      <c r="B342" s="27">
        <v>38</v>
      </c>
      <c r="C342" s="27" t="s">
        <v>542</v>
      </c>
      <c r="D342" s="27" t="s">
        <v>556</v>
      </c>
      <c r="E342" s="27">
        <v>2022</v>
      </c>
      <c r="F342" s="28">
        <v>5.7</v>
      </c>
      <c r="G342" s="27">
        <v>7.5</v>
      </c>
      <c r="H342" s="28">
        <v>7.9</v>
      </c>
      <c r="I342" s="28">
        <v>5.8</v>
      </c>
      <c r="J342" s="28">
        <v>7.8</v>
      </c>
      <c r="K342" s="27" t="s">
        <v>570</v>
      </c>
      <c r="L342" s="27">
        <v>4</v>
      </c>
      <c r="M342" s="27">
        <v>6.42</v>
      </c>
      <c r="N342" s="1" t="s">
        <v>590</v>
      </c>
      <c r="O342" s="27">
        <v>48417.55</v>
      </c>
    </row>
    <row r="343" spans="1:15">
      <c r="A343" s="27" t="s">
        <v>520</v>
      </c>
      <c r="B343" s="27">
        <v>60</v>
      </c>
      <c r="C343" s="27" t="s">
        <v>541</v>
      </c>
      <c r="D343" s="27" t="s">
        <v>552</v>
      </c>
      <c r="E343" s="27">
        <v>2023</v>
      </c>
      <c r="F343" s="28">
        <v>7.4</v>
      </c>
      <c r="G343" s="27">
        <v>2</v>
      </c>
      <c r="H343" s="28">
        <v>2</v>
      </c>
      <c r="I343" s="28">
        <v>1.5</v>
      </c>
      <c r="J343" s="28">
        <v>5.2</v>
      </c>
      <c r="K343" s="27" t="s">
        <v>571</v>
      </c>
      <c r="L343" s="27">
        <v>6</v>
      </c>
      <c r="M343" s="27">
        <v>4.67</v>
      </c>
      <c r="N343" s="1" t="s">
        <v>592</v>
      </c>
      <c r="O343" s="27">
        <v>11332.75</v>
      </c>
    </row>
    <row r="344" spans="1:15">
      <c r="A344" s="27" t="s">
        <v>371</v>
      </c>
      <c r="B344" s="27">
        <v>83</v>
      </c>
      <c r="C344" s="27" t="s">
        <v>542</v>
      </c>
      <c r="D344" s="27" t="s">
        <v>645</v>
      </c>
      <c r="E344" s="27">
        <v>2024</v>
      </c>
      <c r="F344" s="28">
        <v>4.6962264150943396</v>
      </c>
      <c r="G344" s="27">
        <v>0.1</v>
      </c>
      <c r="H344" s="28">
        <v>3.7</v>
      </c>
      <c r="I344" s="28">
        <v>4.5999999999999996</v>
      </c>
      <c r="J344" s="28">
        <v>7.5</v>
      </c>
      <c r="K344" s="27" t="s">
        <v>576</v>
      </c>
      <c r="L344" s="27">
        <v>5</v>
      </c>
      <c r="M344" s="27">
        <v>5.33</v>
      </c>
      <c r="N344" s="1" t="s">
        <v>592</v>
      </c>
      <c r="O344" s="27">
        <v>28346.49</v>
      </c>
    </row>
    <row r="345" spans="1:15">
      <c r="A345" s="27" t="s">
        <v>381</v>
      </c>
      <c r="B345" s="27">
        <v>70</v>
      </c>
      <c r="C345" s="27" t="s">
        <v>541</v>
      </c>
      <c r="D345" s="27" t="s">
        <v>552</v>
      </c>
      <c r="E345" s="27">
        <v>2024</v>
      </c>
      <c r="F345" s="28">
        <v>9.1</v>
      </c>
      <c r="G345" s="27">
        <v>7.3</v>
      </c>
      <c r="H345" s="28">
        <v>4.6985074626865675</v>
      </c>
      <c r="I345" s="28">
        <v>0.4</v>
      </c>
      <c r="J345" s="28">
        <v>4.8</v>
      </c>
      <c r="K345" s="27" t="s">
        <v>576</v>
      </c>
      <c r="L345" s="27">
        <v>6</v>
      </c>
      <c r="M345" s="27">
        <v>5.85</v>
      </c>
      <c r="N345" s="1" t="s">
        <v>592</v>
      </c>
      <c r="O345" s="27">
        <v>24817.27</v>
      </c>
    </row>
    <row r="346" spans="1:15">
      <c r="A346" s="27" t="s">
        <v>424</v>
      </c>
      <c r="B346" s="27">
        <v>43</v>
      </c>
      <c r="C346" s="27" t="s">
        <v>542</v>
      </c>
      <c r="D346" s="27" t="s">
        <v>549</v>
      </c>
      <c r="E346" s="27">
        <v>2024</v>
      </c>
      <c r="F346" s="28">
        <v>0.1</v>
      </c>
      <c r="G346" s="27">
        <v>4.4000000000000004</v>
      </c>
      <c r="H346" s="28">
        <v>7.2</v>
      </c>
      <c r="I346" s="28">
        <v>4</v>
      </c>
      <c r="J346" s="28">
        <v>8.8000000000000007</v>
      </c>
      <c r="K346" s="27" t="s">
        <v>546</v>
      </c>
      <c r="L346" s="27">
        <v>5</v>
      </c>
      <c r="M346" s="27">
        <v>5.29</v>
      </c>
      <c r="N346" s="1" t="s">
        <v>592</v>
      </c>
      <c r="O346" s="27">
        <v>41904.53</v>
      </c>
    </row>
    <row r="347" spans="1:15">
      <c r="A347" s="27" t="s">
        <v>174</v>
      </c>
      <c r="B347" s="27">
        <v>46</v>
      </c>
      <c r="C347" s="27" t="s">
        <v>542</v>
      </c>
      <c r="D347" s="27" t="s">
        <v>552</v>
      </c>
      <c r="E347" s="27">
        <v>2022</v>
      </c>
      <c r="F347" s="28">
        <v>4.2918032786885218</v>
      </c>
      <c r="G347" s="27">
        <v>5.6</v>
      </c>
      <c r="H347" s="28">
        <v>1.5</v>
      </c>
      <c r="I347" s="28">
        <v>3.2</v>
      </c>
      <c r="J347" s="28">
        <v>7.7</v>
      </c>
      <c r="K347" s="27" t="s">
        <v>572</v>
      </c>
      <c r="L347" s="27">
        <v>7</v>
      </c>
      <c r="M347" s="27">
        <v>2.6</v>
      </c>
      <c r="N347" s="1" t="s">
        <v>594</v>
      </c>
      <c r="O347" s="27">
        <v>96835.31</v>
      </c>
    </row>
    <row r="348" spans="1:15">
      <c r="A348" s="27" t="s">
        <v>278</v>
      </c>
      <c r="B348" s="27">
        <v>74</v>
      </c>
      <c r="C348" s="27" t="s">
        <v>541</v>
      </c>
      <c r="D348" s="27" t="s">
        <v>550</v>
      </c>
      <c r="E348" s="27">
        <v>2022</v>
      </c>
      <c r="F348" s="28">
        <v>2</v>
      </c>
      <c r="G348" s="27">
        <v>3.9</v>
      </c>
      <c r="H348" s="28">
        <v>8.8000000000000007</v>
      </c>
      <c r="I348" s="28">
        <v>3.2</v>
      </c>
      <c r="J348" s="28">
        <v>8.1999999999999993</v>
      </c>
      <c r="K348" s="27" t="s">
        <v>571</v>
      </c>
      <c r="L348" s="27">
        <v>6</v>
      </c>
      <c r="M348" s="27">
        <v>5.43</v>
      </c>
      <c r="N348" s="1" t="s">
        <v>592</v>
      </c>
      <c r="O348" s="27">
        <v>16546.52</v>
      </c>
    </row>
    <row r="349" spans="1:15">
      <c r="A349" s="27" t="s">
        <v>67</v>
      </c>
      <c r="B349" s="27">
        <v>33</v>
      </c>
      <c r="C349" s="27" t="s">
        <v>541</v>
      </c>
      <c r="D349" s="27" t="s">
        <v>555</v>
      </c>
      <c r="E349" s="27">
        <v>2023</v>
      </c>
      <c r="F349" s="28">
        <v>5.4954248366013045</v>
      </c>
      <c r="G349" s="27">
        <v>8.3000000000000007</v>
      </c>
      <c r="H349" s="28">
        <v>5.9</v>
      </c>
      <c r="I349" s="28">
        <v>2.2000000000000002</v>
      </c>
      <c r="J349" s="28">
        <v>7</v>
      </c>
      <c r="K349" s="27" t="s">
        <v>571</v>
      </c>
      <c r="L349" s="27">
        <v>3</v>
      </c>
      <c r="M349" s="27">
        <v>6.13</v>
      </c>
      <c r="N349" s="1" t="s">
        <v>590</v>
      </c>
      <c r="O349" s="27">
        <v>36206.33</v>
      </c>
    </row>
    <row r="350" spans="1:15">
      <c r="A350" s="27" t="s">
        <v>486</v>
      </c>
      <c r="B350" s="27">
        <v>85</v>
      </c>
      <c r="C350" s="27" t="s">
        <v>543</v>
      </c>
      <c r="D350" s="27" t="s">
        <v>551</v>
      </c>
      <c r="E350" s="27">
        <v>2024</v>
      </c>
      <c r="F350" s="28">
        <v>1</v>
      </c>
      <c r="G350" s="27">
        <v>5</v>
      </c>
      <c r="H350" s="28">
        <v>5.8</v>
      </c>
      <c r="I350" s="28">
        <v>9.8000000000000007</v>
      </c>
      <c r="J350" s="28">
        <v>3.8</v>
      </c>
      <c r="K350" s="27" t="s">
        <v>571</v>
      </c>
      <c r="L350" s="27">
        <v>6</v>
      </c>
      <c r="M350" s="27">
        <v>4.79</v>
      </c>
      <c r="N350" s="1" t="s">
        <v>592</v>
      </c>
      <c r="O350" s="27">
        <v>68583.06</v>
      </c>
    </row>
    <row r="351" spans="1:15">
      <c r="A351" s="27" t="s">
        <v>343</v>
      </c>
      <c r="B351" s="27">
        <v>46</v>
      </c>
      <c r="C351" s="27" t="s">
        <v>546</v>
      </c>
      <c r="D351" s="27" t="s">
        <v>552</v>
      </c>
      <c r="E351" s="27">
        <v>2023</v>
      </c>
      <c r="F351" s="28">
        <v>6</v>
      </c>
      <c r="G351" s="27">
        <v>4.3</v>
      </c>
      <c r="H351" s="28">
        <v>0.9</v>
      </c>
      <c r="I351" s="28">
        <v>4.0999999999999996</v>
      </c>
      <c r="J351" s="28">
        <v>2.2999999999999998</v>
      </c>
      <c r="K351" s="27" t="s">
        <v>572</v>
      </c>
      <c r="L351" s="27">
        <v>6</v>
      </c>
      <c r="M351" s="27">
        <v>4.96</v>
      </c>
      <c r="N351" s="1" t="s">
        <v>592</v>
      </c>
      <c r="O351" s="27">
        <v>8960.42</v>
      </c>
    </row>
    <row r="352" spans="1:15">
      <c r="A352" s="27" t="s">
        <v>157</v>
      </c>
      <c r="B352" s="27">
        <v>37</v>
      </c>
      <c r="C352" s="27" t="s">
        <v>541</v>
      </c>
      <c r="D352" s="27" t="s">
        <v>554</v>
      </c>
      <c r="E352" s="27">
        <v>2023</v>
      </c>
      <c r="F352" s="28">
        <v>9.6</v>
      </c>
      <c r="G352" s="27">
        <v>7.7</v>
      </c>
      <c r="H352" s="28">
        <v>2.4</v>
      </c>
      <c r="I352" s="28">
        <v>3.3</v>
      </c>
      <c r="J352" s="28">
        <v>3.8</v>
      </c>
      <c r="K352" s="27" t="s">
        <v>573</v>
      </c>
      <c r="L352" s="27">
        <v>6</v>
      </c>
      <c r="M352" s="27">
        <v>5.01</v>
      </c>
      <c r="N352" s="1" t="s">
        <v>592</v>
      </c>
      <c r="O352" s="27">
        <v>73209.259999999995</v>
      </c>
    </row>
    <row r="353" spans="1:15">
      <c r="A353" s="27" t="s">
        <v>103</v>
      </c>
      <c r="B353" s="27">
        <v>82</v>
      </c>
      <c r="C353" s="27" t="s">
        <v>543</v>
      </c>
      <c r="D353" s="27" t="s">
        <v>554</v>
      </c>
      <c r="E353" s="27">
        <v>2024</v>
      </c>
      <c r="F353" s="28">
        <v>9.5</v>
      </c>
      <c r="G353" s="27">
        <v>7.6</v>
      </c>
      <c r="H353" s="28">
        <v>4.3</v>
      </c>
      <c r="I353" s="28">
        <v>5.4</v>
      </c>
      <c r="J353" s="28">
        <v>9</v>
      </c>
      <c r="K353" s="27" t="s">
        <v>574</v>
      </c>
      <c r="L353" s="27">
        <v>3</v>
      </c>
      <c r="M353" s="27">
        <v>6.01</v>
      </c>
      <c r="N353" s="1" t="s">
        <v>590</v>
      </c>
      <c r="O353" s="27">
        <v>82796.42</v>
      </c>
    </row>
    <row r="354" spans="1:15">
      <c r="A354" s="27" t="s">
        <v>263</v>
      </c>
      <c r="B354" s="27">
        <v>24</v>
      </c>
      <c r="C354" s="27" t="s">
        <v>542</v>
      </c>
      <c r="D354" s="27" t="s">
        <v>554</v>
      </c>
      <c r="E354" s="27">
        <v>2023</v>
      </c>
      <c r="F354" s="28">
        <v>4.3</v>
      </c>
      <c r="G354" s="27">
        <v>5.9</v>
      </c>
      <c r="H354" s="28">
        <v>5.0999999999999996</v>
      </c>
      <c r="I354" s="28">
        <v>1</v>
      </c>
      <c r="J354" s="28">
        <v>9.3000000000000007</v>
      </c>
      <c r="K354" s="27" t="s">
        <v>573</v>
      </c>
      <c r="L354" s="27">
        <v>5</v>
      </c>
      <c r="M354" s="27">
        <v>4.0999999999999996</v>
      </c>
      <c r="N354" s="1" t="s">
        <v>592</v>
      </c>
      <c r="O354" s="27">
        <v>76895.75</v>
      </c>
    </row>
    <row r="355" spans="1:15">
      <c r="A355" s="27" t="s">
        <v>437</v>
      </c>
      <c r="B355" s="27">
        <v>54</v>
      </c>
      <c r="C355" s="27" t="s">
        <v>541</v>
      </c>
      <c r="D355" s="27" t="s">
        <v>549</v>
      </c>
      <c r="E355" s="27">
        <v>2024</v>
      </c>
      <c r="F355" s="28">
        <v>2.7</v>
      </c>
      <c r="G355" s="27">
        <v>1.2</v>
      </c>
      <c r="H355" s="28">
        <v>1.1000000000000001</v>
      </c>
      <c r="I355" s="28">
        <v>3.9</v>
      </c>
      <c r="J355" s="28">
        <v>8.6</v>
      </c>
      <c r="K355" s="27" t="s">
        <v>571</v>
      </c>
      <c r="L355" s="27">
        <v>8</v>
      </c>
      <c r="M355" s="27">
        <v>3.57</v>
      </c>
      <c r="N355" s="1" t="s">
        <v>594</v>
      </c>
      <c r="O355" s="27">
        <v>47746.06</v>
      </c>
    </row>
    <row r="356" spans="1:15">
      <c r="A356" s="27" t="s">
        <v>449</v>
      </c>
      <c r="B356" s="27">
        <v>32</v>
      </c>
      <c r="C356" s="27" t="s">
        <v>541</v>
      </c>
      <c r="D356" s="27" t="s">
        <v>645</v>
      </c>
      <c r="E356" s="27">
        <v>2023</v>
      </c>
      <c r="F356" s="28">
        <v>1.9</v>
      </c>
      <c r="G356" s="27">
        <v>1.2</v>
      </c>
      <c r="H356" s="28">
        <v>5.6</v>
      </c>
      <c r="I356" s="28">
        <v>7.2</v>
      </c>
      <c r="J356" s="28">
        <v>6.7</v>
      </c>
      <c r="K356" s="27" t="s">
        <v>570</v>
      </c>
      <c r="L356" s="27">
        <v>5</v>
      </c>
      <c r="M356" s="27">
        <v>4.12</v>
      </c>
      <c r="N356" s="1" t="s">
        <v>592</v>
      </c>
      <c r="O356" s="27">
        <v>69501.759999999995</v>
      </c>
    </row>
    <row r="357" spans="1:15">
      <c r="A357" s="27" t="s">
        <v>404</v>
      </c>
      <c r="B357" s="27">
        <v>25</v>
      </c>
      <c r="C357" s="27" t="s">
        <v>541</v>
      </c>
      <c r="D357" s="27" t="s">
        <v>553</v>
      </c>
      <c r="E357" s="27">
        <v>2022</v>
      </c>
      <c r="F357" s="28">
        <v>5.2</v>
      </c>
      <c r="G357" s="27">
        <v>3.6</v>
      </c>
      <c r="H357" s="28">
        <v>2.8</v>
      </c>
      <c r="I357" s="28">
        <v>7.9</v>
      </c>
      <c r="J357" s="28">
        <v>1.9</v>
      </c>
      <c r="K357" s="27" t="s">
        <v>546</v>
      </c>
      <c r="L357" s="27">
        <v>6</v>
      </c>
      <c r="M357" s="27">
        <v>4.79</v>
      </c>
      <c r="N357" s="1" t="s">
        <v>592</v>
      </c>
      <c r="O357" s="27">
        <v>48798.45</v>
      </c>
    </row>
    <row r="358" spans="1:15">
      <c r="A358" s="27" t="s">
        <v>513</v>
      </c>
      <c r="B358" s="27">
        <v>83</v>
      </c>
      <c r="C358" s="27" t="s">
        <v>543</v>
      </c>
      <c r="D358" s="27" t="s">
        <v>552</v>
      </c>
      <c r="E358" s="27">
        <v>2023</v>
      </c>
      <c r="F358" s="28">
        <v>1.7</v>
      </c>
      <c r="G358" s="27">
        <v>1.6</v>
      </c>
      <c r="H358" s="28">
        <v>4.0999999999999996</v>
      </c>
      <c r="I358" s="28">
        <v>1.1000000000000001</v>
      </c>
      <c r="J358" s="28">
        <v>4.7</v>
      </c>
      <c r="K358" s="27" t="s">
        <v>579</v>
      </c>
      <c r="L358" s="27">
        <v>7</v>
      </c>
      <c r="M358" s="27">
        <v>2.59</v>
      </c>
      <c r="N358" s="1" t="s">
        <v>594</v>
      </c>
      <c r="O358" s="27">
        <v>64781.63</v>
      </c>
    </row>
    <row r="359" spans="1:15">
      <c r="A359" s="27" t="s">
        <v>212</v>
      </c>
      <c r="B359" s="27">
        <v>64</v>
      </c>
      <c r="C359" s="27" t="s">
        <v>543</v>
      </c>
      <c r="D359" s="27" t="s">
        <v>556</v>
      </c>
      <c r="E359" s="27">
        <v>2023</v>
      </c>
      <c r="F359" s="28">
        <v>4.9403669724770625</v>
      </c>
      <c r="G359" s="27">
        <v>0.7</v>
      </c>
      <c r="H359" s="28">
        <v>0.5</v>
      </c>
      <c r="I359" s="28">
        <v>5.3</v>
      </c>
      <c r="J359" s="28">
        <v>5.2</v>
      </c>
      <c r="K359" s="27" t="s">
        <v>573</v>
      </c>
      <c r="L359" s="27">
        <v>6</v>
      </c>
      <c r="M359" s="27">
        <v>5.13</v>
      </c>
      <c r="N359" s="1" t="s">
        <v>592</v>
      </c>
      <c r="O359" s="27">
        <v>13271.38</v>
      </c>
    </row>
    <row r="360" spans="1:15">
      <c r="A360" s="27" t="s">
        <v>377</v>
      </c>
      <c r="B360" s="27">
        <v>84</v>
      </c>
      <c r="C360" s="27" t="s">
        <v>543</v>
      </c>
      <c r="D360" s="27" t="s">
        <v>551</v>
      </c>
      <c r="E360" s="27">
        <v>2022</v>
      </c>
      <c r="F360" s="28">
        <v>0.2</v>
      </c>
      <c r="G360" s="27">
        <v>7.2</v>
      </c>
      <c r="H360" s="28">
        <v>0.6</v>
      </c>
      <c r="I360" s="28">
        <v>8.1</v>
      </c>
      <c r="J360" s="28">
        <v>0.1</v>
      </c>
      <c r="K360" s="27" t="s">
        <v>579</v>
      </c>
      <c r="L360" s="27">
        <v>8</v>
      </c>
      <c r="M360" s="27">
        <v>3.24</v>
      </c>
      <c r="N360" s="1" t="s">
        <v>594</v>
      </c>
      <c r="O360" s="27">
        <v>79795.14</v>
      </c>
    </row>
    <row r="361" spans="1:15">
      <c r="A361" s="27" t="s">
        <v>236</v>
      </c>
      <c r="B361" s="27">
        <v>21</v>
      </c>
      <c r="C361" s="27" t="s">
        <v>542</v>
      </c>
      <c r="D361" s="27" t="s">
        <v>554</v>
      </c>
      <c r="E361" s="27">
        <v>2023</v>
      </c>
      <c r="F361" s="28">
        <v>3.2</v>
      </c>
      <c r="G361" s="27">
        <v>8.6999999999999993</v>
      </c>
      <c r="H361" s="28">
        <v>4.8</v>
      </c>
      <c r="I361" s="28">
        <v>7.4</v>
      </c>
      <c r="J361" s="28">
        <v>0.8</v>
      </c>
      <c r="K361" s="27" t="s">
        <v>578</v>
      </c>
      <c r="L361" s="27">
        <v>1</v>
      </c>
      <c r="M361" s="27">
        <v>26.02</v>
      </c>
      <c r="N361" s="1" t="s">
        <v>591</v>
      </c>
      <c r="O361" s="27">
        <v>64777.89</v>
      </c>
    </row>
    <row r="362" spans="1:15">
      <c r="A362" s="27" t="s">
        <v>272</v>
      </c>
      <c r="B362" s="27">
        <v>44</v>
      </c>
      <c r="C362" s="27" t="s">
        <v>542</v>
      </c>
      <c r="D362" s="27" t="s">
        <v>555</v>
      </c>
      <c r="E362" s="27">
        <v>2023</v>
      </c>
      <c r="F362" s="28">
        <v>2.2999999999999998</v>
      </c>
      <c r="G362" s="27">
        <v>8.4</v>
      </c>
      <c r="H362" s="28">
        <v>9.5</v>
      </c>
      <c r="I362" s="28">
        <v>2.2000000000000002</v>
      </c>
      <c r="J362" s="28">
        <v>4.3978723404255327</v>
      </c>
      <c r="K362" s="27" t="s">
        <v>572</v>
      </c>
      <c r="L362" s="27">
        <v>5</v>
      </c>
      <c r="M362" s="27">
        <v>4.71</v>
      </c>
      <c r="N362" s="1" t="s">
        <v>592</v>
      </c>
      <c r="O362" s="27">
        <v>83917.63</v>
      </c>
    </row>
    <row r="363" spans="1:15">
      <c r="A363" s="27" t="s">
        <v>366</v>
      </c>
      <c r="B363" s="27">
        <v>80</v>
      </c>
      <c r="C363" s="27" t="s">
        <v>543</v>
      </c>
      <c r="D363" s="27" t="s">
        <v>645</v>
      </c>
      <c r="E363" s="27">
        <v>2022</v>
      </c>
      <c r="F363" s="28">
        <v>6.7</v>
      </c>
      <c r="G363" s="27">
        <v>3.6</v>
      </c>
      <c r="H363" s="28">
        <v>5.28</v>
      </c>
      <c r="I363" s="28">
        <v>8.1999999999999993</v>
      </c>
      <c r="J363" s="28">
        <v>2.2000000000000002</v>
      </c>
      <c r="K363" s="27" t="s">
        <v>572</v>
      </c>
      <c r="L363" s="27">
        <v>6</v>
      </c>
      <c r="M363" s="27">
        <v>5.22</v>
      </c>
      <c r="N363" s="1" t="s">
        <v>592</v>
      </c>
      <c r="O363" s="27">
        <v>67866.820000000007</v>
      </c>
    </row>
    <row r="364" spans="1:15">
      <c r="A364" s="27" t="s">
        <v>192</v>
      </c>
      <c r="B364" s="27">
        <v>79</v>
      </c>
      <c r="C364" s="27" t="s">
        <v>542</v>
      </c>
      <c r="D364" s="27" t="s">
        <v>672</v>
      </c>
      <c r="E364" s="27">
        <v>2024</v>
      </c>
      <c r="F364" s="28">
        <v>0.7</v>
      </c>
      <c r="G364" s="27">
        <v>3.4</v>
      </c>
      <c r="H364" s="28">
        <v>5.5</v>
      </c>
      <c r="I364" s="28">
        <v>2.2999999999999998</v>
      </c>
      <c r="J364" s="28">
        <v>0.6</v>
      </c>
      <c r="K364" s="27" t="s">
        <v>570</v>
      </c>
      <c r="L364" s="27">
        <v>8</v>
      </c>
      <c r="M364" s="27">
        <v>3.11</v>
      </c>
      <c r="N364" s="1" t="s">
        <v>594</v>
      </c>
      <c r="O364" s="27">
        <v>44086.22</v>
      </c>
    </row>
    <row r="365" spans="1:15">
      <c r="A365" s="27" t="s">
        <v>126</v>
      </c>
      <c r="B365" s="27">
        <v>79</v>
      </c>
      <c r="C365" s="27" t="s">
        <v>541</v>
      </c>
      <c r="D365" s="27" t="s">
        <v>552</v>
      </c>
      <c r="E365" s="27">
        <v>2024</v>
      </c>
      <c r="F365" s="28">
        <v>9.6</v>
      </c>
      <c r="G365" s="27">
        <v>6.9</v>
      </c>
      <c r="H365" s="28">
        <v>9.8000000000000007</v>
      </c>
      <c r="I365" s="28">
        <v>9.6999999999999993</v>
      </c>
      <c r="J365" s="28">
        <v>2.958333333333333</v>
      </c>
      <c r="K365" s="27" t="s">
        <v>572</v>
      </c>
      <c r="L365" s="27">
        <v>4</v>
      </c>
      <c r="M365" s="27">
        <v>7.33</v>
      </c>
      <c r="N365" s="1" t="s">
        <v>590</v>
      </c>
      <c r="O365" s="27">
        <v>88756.03</v>
      </c>
    </row>
    <row r="366" spans="1:15">
      <c r="A366" s="27" t="s">
        <v>419</v>
      </c>
      <c r="B366" s="27">
        <v>76</v>
      </c>
      <c r="C366" s="27" t="s">
        <v>541</v>
      </c>
      <c r="D366" s="27" t="s">
        <v>551</v>
      </c>
      <c r="E366" s="27">
        <v>2024</v>
      </c>
      <c r="F366" s="28">
        <v>7</v>
      </c>
      <c r="G366" s="27">
        <v>5.2</v>
      </c>
      <c r="H366" s="28">
        <v>6.7</v>
      </c>
      <c r="I366" s="28">
        <v>4.9864406779661037</v>
      </c>
      <c r="J366" s="28">
        <v>8</v>
      </c>
      <c r="K366" s="27" t="s">
        <v>546</v>
      </c>
      <c r="L366" s="27">
        <v>3</v>
      </c>
      <c r="M366" s="27">
        <v>7.67</v>
      </c>
      <c r="N366" s="1" t="s">
        <v>590</v>
      </c>
      <c r="O366" s="27">
        <v>9988.14</v>
      </c>
    </row>
    <row r="367" spans="1:15">
      <c r="A367" s="27" t="s">
        <v>499</v>
      </c>
      <c r="B367" s="27">
        <v>46</v>
      </c>
      <c r="C367" s="27" t="s">
        <v>543</v>
      </c>
      <c r="D367" s="27" t="s">
        <v>550</v>
      </c>
      <c r="E367" s="27">
        <v>2024</v>
      </c>
      <c r="F367" s="28">
        <v>7.1</v>
      </c>
      <c r="G367" s="27">
        <v>9.5</v>
      </c>
      <c r="H367" s="28">
        <v>0.8</v>
      </c>
      <c r="I367" s="28">
        <v>5.6</v>
      </c>
      <c r="J367" s="28">
        <v>6.8</v>
      </c>
      <c r="K367" s="27" t="s">
        <v>576</v>
      </c>
      <c r="L367" s="27">
        <v>4</v>
      </c>
      <c r="M367" s="27">
        <v>6.39</v>
      </c>
      <c r="N367" s="1" t="s">
        <v>590</v>
      </c>
      <c r="O367" s="27">
        <v>18609.099999999999</v>
      </c>
    </row>
    <row r="368" spans="1:15">
      <c r="A368" s="27" t="s">
        <v>463</v>
      </c>
      <c r="B368" s="27">
        <v>37</v>
      </c>
      <c r="C368" s="27" t="s">
        <v>541</v>
      </c>
      <c r="D368" s="27" t="s">
        <v>549</v>
      </c>
      <c r="E368" s="27">
        <v>2022</v>
      </c>
      <c r="F368" s="28">
        <v>2.2000000000000002</v>
      </c>
      <c r="G368" s="27">
        <v>8.3000000000000007</v>
      </c>
      <c r="H368" s="28">
        <v>1.3</v>
      </c>
      <c r="I368" s="28">
        <v>6.5</v>
      </c>
      <c r="J368" s="28">
        <v>5.4647058823529386</v>
      </c>
      <c r="K368" s="27" t="s">
        <v>578</v>
      </c>
      <c r="L368" s="27">
        <v>6</v>
      </c>
      <c r="M368" s="27">
        <v>4.42</v>
      </c>
      <c r="N368" s="1" t="s">
        <v>592</v>
      </c>
      <c r="O368" s="27">
        <v>80760.990000000005</v>
      </c>
    </row>
    <row r="369" spans="1:15">
      <c r="A369" s="27" t="s">
        <v>193</v>
      </c>
      <c r="B369" s="27">
        <v>72</v>
      </c>
      <c r="C369" s="27" t="s">
        <v>546</v>
      </c>
      <c r="D369" s="27" t="s">
        <v>645</v>
      </c>
      <c r="E369" s="27">
        <v>2023</v>
      </c>
      <c r="F369" s="28">
        <v>4.4000000000000004</v>
      </c>
      <c r="G369" s="27">
        <v>0.2</v>
      </c>
      <c r="H369" s="28">
        <v>3.1</v>
      </c>
      <c r="I369" s="28">
        <v>0.9</v>
      </c>
      <c r="J369" s="28">
        <v>2.2000000000000002</v>
      </c>
      <c r="K369" s="27" t="s">
        <v>573</v>
      </c>
      <c r="L369" s="27">
        <v>7</v>
      </c>
      <c r="M369" s="27">
        <v>3.23</v>
      </c>
      <c r="N369" s="1" t="s">
        <v>594</v>
      </c>
      <c r="O369" s="27">
        <v>27476.85</v>
      </c>
    </row>
    <row r="370" spans="1:15">
      <c r="A370" s="27" t="s">
        <v>21</v>
      </c>
      <c r="B370" s="27">
        <v>32</v>
      </c>
      <c r="C370" s="27" t="s">
        <v>541</v>
      </c>
      <c r="D370" s="27" t="s">
        <v>554</v>
      </c>
      <c r="E370" s="27">
        <v>2023</v>
      </c>
      <c r="F370" s="28">
        <v>1.8</v>
      </c>
      <c r="G370" s="27">
        <v>5.9</v>
      </c>
      <c r="H370" s="28">
        <v>0.7</v>
      </c>
      <c r="I370" s="28">
        <v>9.9</v>
      </c>
      <c r="J370" s="28">
        <v>4.2</v>
      </c>
      <c r="K370" s="27" t="s">
        <v>572</v>
      </c>
      <c r="L370" s="27">
        <v>6</v>
      </c>
      <c r="M370" s="27">
        <v>5.37</v>
      </c>
      <c r="N370" s="1" t="s">
        <v>592</v>
      </c>
      <c r="O370" s="27">
        <v>50390.07</v>
      </c>
    </row>
    <row r="371" spans="1:15">
      <c r="A371" s="27" t="s">
        <v>315</v>
      </c>
      <c r="B371" s="27">
        <v>24</v>
      </c>
      <c r="C371" s="27" t="s">
        <v>543</v>
      </c>
      <c r="D371" s="27" t="s">
        <v>556</v>
      </c>
      <c r="E371" s="27">
        <v>2024</v>
      </c>
      <c r="F371" s="28">
        <v>7</v>
      </c>
      <c r="G371" s="27">
        <v>7.6</v>
      </c>
      <c r="H371" s="28">
        <v>5.3</v>
      </c>
      <c r="I371" s="28">
        <v>7.6</v>
      </c>
      <c r="J371" s="28">
        <v>0.2</v>
      </c>
      <c r="K371" s="27" t="s">
        <v>578</v>
      </c>
      <c r="L371" s="27">
        <v>6</v>
      </c>
      <c r="M371" s="27">
        <v>5.96</v>
      </c>
      <c r="N371" s="1" t="s">
        <v>592</v>
      </c>
      <c r="O371" s="27">
        <v>45778.04</v>
      </c>
    </row>
    <row r="372" spans="1:15">
      <c r="A372" s="27" t="s">
        <v>201</v>
      </c>
      <c r="B372" s="27">
        <v>77</v>
      </c>
      <c r="C372" s="27" t="s">
        <v>543</v>
      </c>
      <c r="D372" s="27" t="s">
        <v>549</v>
      </c>
      <c r="E372" s="27">
        <v>2022</v>
      </c>
      <c r="F372" s="28">
        <v>5.5</v>
      </c>
      <c r="G372" s="27">
        <v>1</v>
      </c>
      <c r="H372" s="28">
        <v>1.9</v>
      </c>
      <c r="I372" s="28">
        <v>9.1</v>
      </c>
      <c r="J372" s="28">
        <v>6.9</v>
      </c>
      <c r="K372" s="27" t="s">
        <v>579</v>
      </c>
      <c r="L372" s="27">
        <v>5</v>
      </c>
      <c r="M372" s="27">
        <v>5.0599999999999996</v>
      </c>
      <c r="N372" s="1" t="s">
        <v>592</v>
      </c>
      <c r="O372" s="27">
        <v>52844.4</v>
      </c>
    </row>
    <row r="373" spans="1:15">
      <c r="A373" s="27" t="s">
        <v>59</v>
      </c>
      <c r="B373" s="27">
        <v>69</v>
      </c>
      <c r="C373" s="27" t="s">
        <v>542</v>
      </c>
      <c r="D373" s="27" t="s">
        <v>554</v>
      </c>
      <c r="E373" s="27">
        <v>2024</v>
      </c>
      <c r="F373" s="28">
        <v>9.8000000000000007</v>
      </c>
      <c r="G373" s="27">
        <v>2.8</v>
      </c>
      <c r="H373" s="28">
        <v>7.1</v>
      </c>
      <c r="I373" s="28">
        <v>8.4</v>
      </c>
      <c r="J373" s="28">
        <v>8.5</v>
      </c>
      <c r="K373" s="27" t="s">
        <v>573</v>
      </c>
      <c r="L373" s="27">
        <v>4</v>
      </c>
      <c r="M373" s="27">
        <v>6.05</v>
      </c>
      <c r="N373" s="1" t="s">
        <v>590</v>
      </c>
      <c r="O373" s="27">
        <v>96208.01</v>
      </c>
    </row>
    <row r="374" spans="1:15">
      <c r="A374" s="27" t="s">
        <v>454</v>
      </c>
      <c r="B374" s="27">
        <v>26</v>
      </c>
      <c r="C374" s="27" t="s">
        <v>542</v>
      </c>
      <c r="D374" s="27" t="s">
        <v>550</v>
      </c>
      <c r="E374" s="27">
        <v>2023</v>
      </c>
      <c r="F374" s="28">
        <v>0.9</v>
      </c>
      <c r="G374" s="27">
        <v>0.8</v>
      </c>
      <c r="H374" s="28">
        <v>10</v>
      </c>
      <c r="I374" s="28">
        <v>6.4</v>
      </c>
      <c r="J374" s="28">
        <v>4.5999999999999996</v>
      </c>
      <c r="K374" s="27" t="s">
        <v>546</v>
      </c>
      <c r="L374" s="27">
        <v>5</v>
      </c>
      <c r="M374" s="27">
        <v>4.34</v>
      </c>
      <c r="N374" s="1" t="s">
        <v>592</v>
      </c>
      <c r="O374" s="27">
        <v>59805</v>
      </c>
    </row>
    <row r="375" spans="1:15">
      <c r="A375" s="27" t="s">
        <v>247</v>
      </c>
      <c r="B375" s="27">
        <v>67</v>
      </c>
      <c r="C375" s="27" t="s">
        <v>542</v>
      </c>
      <c r="D375" s="27" t="s">
        <v>645</v>
      </c>
      <c r="E375" s="27">
        <v>2023</v>
      </c>
      <c r="F375" s="28">
        <v>3.7</v>
      </c>
      <c r="G375" s="27">
        <v>0.3</v>
      </c>
      <c r="H375" s="28">
        <v>3.6</v>
      </c>
      <c r="I375" s="28">
        <v>3.3</v>
      </c>
      <c r="J375" s="28">
        <v>1.3</v>
      </c>
      <c r="K375" s="27" t="s">
        <v>573</v>
      </c>
      <c r="L375" s="27">
        <v>8</v>
      </c>
      <c r="M375" s="27">
        <v>2.69</v>
      </c>
      <c r="N375" s="1" t="s">
        <v>594</v>
      </c>
      <c r="O375" s="27">
        <v>71084.27</v>
      </c>
    </row>
    <row r="376" spans="1:15">
      <c r="A376" s="27" t="s">
        <v>370</v>
      </c>
      <c r="B376" s="27">
        <v>67</v>
      </c>
      <c r="C376" s="27" t="s">
        <v>542</v>
      </c>
      <c r="D376" s="27" t="s">
        <v>554</v>
      </c>
      <c r="E376" s="27">
        <v>2024</v>
      </c>
      <c r="F376" s="28">
        <v>6.4</v>
      </c>
      <c r="G376" s="27">
        <v>6.1</v>
      </c>
      <c r="H376" s="28">
        <v>2.9</v>
      </c>
      <c r="I376" s="28">
        <v>6.3</v>
      </c>
      <c r="J376" s="28">
        <v>0.7</v>
      </c>
      <c r="K376" s="27" t="s">
        <v>572</v>
      </c>
      <c r="L376" s="27">
        <v>6</v>
      </c>
      <c r="M376" s="27">
        <v>4.29</v>
      </c>
      <c r="N376" s="1" t="s">
        <v>592</v>
      </c>
      <c r="O376" s="27">
        <v>83652.789999999994</v>
      </c>
    </row>
    <row r="377" spans="1:15">
      <c r="A377" s="27" t="s">
        <v>373</v>
      </c>
      <c r="B377" s="27">
        <v>57</v>
      </c>
      <c r="C377" s="27" t="s">
        <v>542</v>
      </c>
      <c r="D377" s="27" t="s">
        <v>553</v>
      </c>
      <c r="E377" s="27">
        <v>2022</v>
      </c>
      <c r="F377" s="28">
        <v>5.8</v>
      </c>
      <c r="G377" s="27">
        <v>9.5</v>
      </c>
      <c r="H377" s="28">
        <v>5.4</v>
      </c>
      <c r="I377" s="28">
        <v>1.3</v>
      </c>
      <c r="J377" s="28">
        <v>7</v>
      </c>
      <c r="K377" s="27" t="s">
        <v>573</v>
      </c>
      <c r="L377" s="27">
        <v>5</v>
      </c>
      <c r="M377" s="27">
        <v>5.09</v>
      </c>
      <c r="N377" s="1" t="s">
        <v>592</v>
      </c>
      <c r="O377" s="27">
        <v>63220.61</v>
      </c>
    </row>
    <row r="378" spans="1:15">
      <c r="A378" s="27" t="s">
        <v>351</v>
      </c>
      <c r="B378" s="27">
        <v>65</v>
      </c>
      <c r="C378" s="27" t="s">
        <v>543</v>
      </c>
      <c r="D378" s="27" t="s">
        <v>554</v>
      </c>
      <c r="E378" s="27">
        <v>2024</v>
      </c>
      <c r="F378" s="28">
        <v>4.7</v>
      </c>
      <c r="G378" s="27">
        <v>5.4</v>
      </c>
      <c r="H378" s="28">
        <v>8.6999999999999993</v>
      </c>
      <c r="I378" s="28">
        <v>8.6</v>
      </c>
      <c r="J378" s="28">
        <v>6</v>
      </c>
      <c r="K378" s="27" t="s">
        <v>573</v>
      </c>
      <c r="L378" s="27">
        <v>1</v>
      </c>
      <c r="M378" s="27">
        <v>33.57</v>
      </c>
      <c r="N378" s="1" t="s">
        <v>591</v>
      </c>
      <c r="O378" s="27">
        <v>43739.9</v>
      </c>
    </row>
    <row r="379" spans="1:15">
      <c r="A379" s="27" t="s">
        <v>488</v>
      </c>
      <c r="B379" s="27">
        <v>26</v>
      </c>
      <c r="C379" s="27" t="s">
        <v>543</v>
      </c>
      <c r="D379" s="27" t="s">
        <v>552</v>
      </c>
      <c r="E379" s="27">
        <v>2024</v>
      </c>
      <c r="F379" s="28">
        <v>1.9</v>
      </c>
      <c r="G379" s="27">
        <v>0.1</v>
      </c>
      <c r="H379" s="28">
        <v>4.5</v>
      </c>
      <c r="I379" s="28">
        <v>3.7</v>
      </c>
      <c r="J379" s="28">
        <v>0.7</v>
      </c>
      <c r="K379" s="27" t="s">
        <v>578</v>
      </c>
      <c r="L379" s="27">
        <v>7</v>
      </c>
      <c r="M379" s="27">
        <v>3.36</v>
      </c>
      <c r="N379" s="1" t="s">
        <v>594</v>
      </c>
      <c r="O379" s="27">
        <v>41773.03</v>
      </c>
    </row>
    <row r="380" spans="1:15">
      <c r="A380" s="27" t="s">
        <v>77</v>
      </c>
      <c r="B380" s="27">
        <v>37</v>
      </c>
      <c r="C380" s="27" t="s">
        <v>543</v>
      </c>
      <c r="D380" s="27" t="s">
        <v>555</v>
      </c>
      <c r="E380" s="27">
        <v>2024</v>
      </c>
      <c r="F380" s="28">
        <v>4.0999999999999996</v>
      </c>
      <c r="G380" s="27">
        <v>1</v>
      </c>
      <c r="H380" s="28">
        <v>5.3</v>
      </c>
      <c r="I380" s="28">
        <v>3.5</v>
      </c>
      <c r="J380" s="28">
        <v>0.7</v>
      </c>
      <c r="K380" s="27" t="s">
        <v>572</v>
      </c>
      <c r="L380" s="27">
        <v>6</v>
      </c>
      <c r="M380" s="27">
        <v>4.33</v>
      </c>
      <c r="N380" s="1" t="s">
        <v>592</v>
      </c>
      <c r="O380" s="27">
        <v>10333.459999999999</v>
      </c>
    </row>
    <row r="381" spans="1:15">
      <c r="A381" s="27" t="s">
        <v>409</v>
      </c>
      <c r="B381" s="27">
        <v>61</v>
      </c>
      <c r="C381" s="27" t="s">
        <v>543</v>
      </c>
      <c r="D381" s="27" t="s">
        <v>551</v>
      </c>
      <c r="E381" s="27">
        <v>2024</v>
      </c>
      <c r="F381" s="28">
        <v>1.5</v>
      </c>
      <c r="G381" s="27">
        <v>8.9</v>
      </c>
      <c r="H381" s="28">
        <v>9.9</v>
      </c>
      <c r="I381" s="28">
        <v>7.5</v>
      </c>
      <c r="J381" s="28">
        <v>0.5</v>
      </c>
      <c r="K381" s="27" t="s">
        <v>573</v>
      </c>
      <c r="L381" s="27">
        <v>5</v>
      </c>
      <c r="M381" s="27">
        <v>5.18</v>
      </c>
      <c r="N381" s="1" t="s">
        <v>592</v>
      </c>
      <c r="O381" s="27">
        <v>74407.41</v>
      </c>
    </row>
    <row r="382" spans="1:15">
      <c r="A382" s="27" t="s">
        <v>517</v>
      </c>
      <c r="B382" s="27">
        <v>5</v>
      </c>
      <c r="C382" s="27" t="s">
        <v>543</v>
      </c>
      <c r="D382" s="27" t="s">
        <v>555</v>
      </c>
      <c r="E382" s="27">
        <v>2024</v>
      </c>
      <c r="F382" s="28">
        <v>4.5999999999999996</v>
      </c>
      <c r="G382" s="27">
        <v>8.4</v>
      </c>
      <c r="H382" s="28">
        <v>7.3</v>
      </c>
      <c r="I382" s="28">
        <v>7.4</v>
      </c>
      <c r="J382" s="28">
        <v>4.8</v>
      </c>
      <c r="K382" s="27" t="s">
        <v>576</v>
      </c>
      <c r="L382" s="27">
        <v>6</v>
      </c>
      <c r="M382" s="27">
        <v>5.75</v>
      </c>
      <c r="N382" s="1" t="s">
        <v>592</v>
      </c>
      <c r="O382" s="27">
        <v>74233.95</v>
      </c>
    </row>
    <row r="383" spans="1:15">
      <c r="A383" s="27" t="s">
        <v>441</v>
      </c>
      <c r="B383" s="27">
        <v>71</v>
      </c>
      <c r="C383" s="27" t="s">
        <v>541</v>
      </c>
      <c r="D383" s="27" t="s">
        <v>672</v>
      </c>
      <c r="E383" s="27">
        <v>2023</v>
      </c>
      <c r="F383" s="28">
        <v>5.8</v>
      </c>
      <c r="G383" s="27">
        <v>1.9</v>
      </c>
      <c r="H383" s="28">
        <v>0</v>
      </c>
      <c r="I383" s="28">
        <v>1.5</v>
      </c>
      <c r="J383" s="28">
        <v>6.6</v>
      </c>
      <c r="K383" s="27" t="s">
        <v>573</v>
      </c>
      <c r="L383" s="27">
        <v>2</v>
      </c>
      <c r="M383" s="27">
        <v>17.32</v>
      </c>
      <c r="N383" s="1" t="s">
        <v>591</v>
      </c>
      <c r="O383" s="27">
        <v>41814.17</v>
      </c>
    </row>
    <row r="384" spans="1:15">
      <c r="A384" s="27" t="s">
        <v>156</v>
      </c>
      <c r="B384" s="27">
        <v>66</v>
      </c>
      <c r="C384" s="27" t="s">
        <v>542</v>
      </c>
      <c r="D384" s="27" t="s">
        <v>672</v>
      </c>
      <c r="E384" s="27">
        <v>2022</v>
      </c>
      <c r="F384" s="28">
        <v>1.2</v>
      </c>
      <c r="G384" s="27">
        <v>1.8</v>
      </c>
      <c r="H384" s="28">
        <v>8.1</v>
      </c>
      <c r="I384" s="28">
        <v>9.6</v>
      </c>
      <c r="J384" s="28">
        <v>3.5</v>
      </c>
      <c r="K384" s="27" t="s">
        <v>578</v>
      </c>
      <c r="L384" s="27">
        <v>6</v>
      </c>
      <c r="M384" s="27">
        <v>5.74</v>
      </c>
      <c r="N384" s="1" t="s">
        <v>592</v>
      </c>
      <c r="O384" s="27">
        <v>12597.88</v>
      </c>
    </row>
    <row r="385" spans="1:15">
      <c r="A385" s="27" t="s">
        <v>332</v>
      </c>
      <c r="B385" s="27">
        <v>80</v>
      </c>
      <c r="C385" s="27" t="s">
        <v>541</v>
      </c>
      <c r="D385" s="27" t="s">
        <v>551</v>
      </c>
      <c r="E385" s="27">
        <v>2022</v>
      </c>
      <c r="F385" s="28">
        <v>5</v>
      </c>
      <c r="G385" s="27">
        <v>2.9</v>
      </c>
      <c r="H385" s="28">
        <v>9.8000000000000007</v>
      </c>
      <c r="I385" s="28">
        <v>0.7</v>
      </c>
      <c r="J385" s="28">
        <v>2.8</v>
      </c>
      <c r="K385" s="27" t="s">
        <v>573</v>
      </c>
      <c r="L385" s="27">
        <v>5</v>
      </c>
      <c r="M385" s="27">
        <v>4.7</v>
      </c>
      <c r="N385" s="1" t="s">
        <v>592</v>
      </c>
      <c r="O385" s="27">
        <v>51967.47</v>
      </c>
    </row>
    <row r="386" spans="1:15">
      <c r="A386" s="27" t="s">
        <v>461</v>
      </c>
      <c r="B386" s="27">
        <v>80</v>
      </c>
      <c r="C386" s="27" t="s">
        <v>546</v>
      </c>
      <c r="D386" s="27" t="s">
        <v>672</v>
      </c>
      <c r="E386" s="27">
        <v>2024</v>
      </c>
      <c r="F386" s="28">
        <v>2.6</v>
      </c>
      <c r="G386" s="27">
        <v>5.0999999999999996</v>
      </c>
      <c r="H386" s="28">
        <v>1.3</v>
      </c>
      <c r="I386" s="28">
        <v>7.7</v>
      </c>
      <c r="J386" s="28">
        <v>9.5</v>
      </c>
      <c r="K386" s="27" t="s">
        <v>571</v>
      </c>
      <c r="L386" s="27">
        <v>6</v>
      </c>
      <c r="M386" s="27">
        <v>5.38</v>
      </c>
      <c r="N386" s="1" t="s">
        <v>592</v>
      </c>
      <c r="O386" s="27">
        <v>29727.4</v>
      </c>
    </row>
    <row r="387" spans="1:15">
      <c r="A387" s="27" t="s">
        <v>161</v>
      </c>
      <c r="B387" s="27">
        <v>76</v>
      </c>
      <c r="C387" s="27" t="s">
        <v>543</v>
      </c>
      <c r="D387" s="27" t="s">
        <v>549</v>
      </c>
      <c r="E387" s="27">
        <v>2024</v>
      </c>
      <c r="F387" s="28">
        <v>2.7</v>
      </c>
      <c r="G387" s="27">
        <v>8.6999999999999993</v>
      </c>
      <c r="H387" s="28">
        <v>6.4</v>
      </c>
      <c r="I387" s="28">
        <v>8.8000000000000007</v>
      </c>
      <c r="J387" s="28">
        <v>2.8</v>
      </c>
      <c r="K387" s="27" t="s">
        <v>574</v>
      </c>
      <c r="L387" s="27">
        <v>4</v>
      </c>
      <c r="M387" s="27">
        <v>6.01</v>
      </c>
      <c r="N387" s="1" t="s">
        <v>590</v>
      </c>
      <c r="O387" s="27">
        <v>41649.64</v>
      </c>
    </row>
    <row r="388" spans="1:15">
      <c r="A388" s="27" t="s">
        <v>149</v>
      </c>
      <c r="B388" s="27">
        <v>64</v>
      </c>
      <c r="C388" s="27" t="s">
        <v>542</v>
      </c>
      <c r="D388" s="27" t="s">
        <v>554</v>
      </c>
      <c r="E388" s="27">
        <v>2024</v>
      </c>
      <c r="F388" s="28">
        <v>6.4</v>
      </c>
      <c r="G388" s="27">
        <v>2.5</v>
      </c>
      <c r="H388" s="28">
        <v>1.2</v>
      </c>
      <c r="I388" s="28">
        <v>3.8</v>
      </c>
      <c r="J388" s="28">
        <v>7.5</v>
      </c>
      <c r="K388" s="27" t="s">
        <v>576</v>
      </c>
      <c r="L388" s="27">
        <v>5</v>
      </c>
      <c r="M388" s="27">
        <v>5.23</v>
      </c>
      <c r="N388" s="1" t="s">
        <v>592</v>
      </c>
      <c r="O388" s="27">
        <v>59537.4</v>
      </c>
    </row>
    <row r="389" spans="1:15">
      <c r="A389" s="27" t="s">
        <v>214</v>
      </c>
      <c r="B389" s="27">
        <v>59</v>
      </c>
      <c r="C389" s="27" t="s">
        <v>543</v>
      </c>
      <c r="D389" s="27" t="s">
        <v>553</v>
      </c>
      <c r="E389" s="27">
        <v>2024</v>
      </c>
      <c r="F389" s="28">
        <v>5.6</v>
      </c>
      <c r="G389" s="27">
        <v>6.5</v>
      </c>
      <c r="H389" s="28">
        <v>5.0999999999999996</v>
      </c>
      <c r="I389" s="28">
        <v>9.8000000000000007</v>
      </c>
      <c r="J389" s="28">
        <v>5.0999999999999996</v>
      </c>
      <c r="K389" s="27" t="s">
        <v>572</v>
      </c>
      <c r="L389" s="27">
        <v>6</v>
      </c>
      <c r="M389" s="27">
        <v>5.45</v>
      </c>
      <c r="N389" s="1" t="s">
        <v>592</v>
      </c>
      <c r="O389" s="27">
        <v>50814.69</v>
      </c>
    </row>
    <row r="390" spans="1:15">
      <c r="A390" s="27" t="s">
        <v>353</v>
      </c>
      <c r="B390" s="27">
        <v>45</v>
      </c>
      <c r="C390" s="27" t="s">
        <v>542</v>
      </c>
      <c r="D390" s="27" t="s">
        <v>672</v>
      </c>
      <c r="E390" s="27">
        <v>2023</v>
      </c>
      <c r="F390" s="28">
        <v>8.6999999999999993</v>
      </c>
      <c r="G390" s="27">
        <v>8.3000000000000007</v>
      </c>
      <c r="H390" s="28">
        <v>0.9</v>
      </c>
      <c r="I390" s="28">
        <v>5.3</v>
      </c>
      <c r="J390" s="28">
        <v>6.3</v>
      </c>
      <c r="K390" s="27" t="s">
        <v>574</v>
      </c>
      <c r="L390" s="27">
        <v>6</v>
      </c>
      <c r="M390" s="27">
        <v>5.57</v>
      </c>
      <c r="N390" s="1" t="s">
        <v>592</v>
      </c>
      <c r="O390" s="27">
        <v>61941.68</v>
      </c>
    </row>
    <row r="391" spans="1:15">
      <c r="A391" s="27" t="s">
        <v>291</v>
      </c>
      <c r="B391" s="27">
        <v>85</v>
      </c>
      <c r="C391" s="27" t="s">
        <v>542</v>
      </c>
      <c r="D391" s="27" t="s">
        <v>550</v>
      </c>
      <c r="E391" s="27">
        <v>2022</v>
      </c>
      <c r="F391" s="28">
        <v>0.1</v>
      </c>
      <c r="G391" s="27">
        <v>6.1</v>
      </c>
      <c r="H391" s="28">
        <v>9</v>
      </c>
      <c r="I391" s="28">
        <v>2.2000000000000002</v>
      </c>
      <c r="J391" s="28">
        <v>5.3</v>
      </c>
      <c r="K391" s="27" t="s">
        <v>573</v>
      </c>
      <c r="L391" s="27">
        <v>6</v>
      </c>
      <c r="M391" s="27">
        <v>4.51</v>
      </c>
      <c r="N391" s="1" t="s">
        <v>592</v>
      </c>
      <c r="O391" s="27">
        <v>37224.89</v>
      </c>
    </row>
    <row r="392" spans="1:15">
      <c r="A392" s="27" t="s">
        <v>428</v>
      </c>
      <c r="B392" s="27">
        <v>76</v>
      </c>
      <c r="C392" s="27" t="s">
        <v>542</v>
      </c>
      <c r="D392" s="27" t="s">
        <v>549</v>
      </c>
      <c r="E392" s="27">
        <v>2023</v>
      </c>
      <c r="F392" s="28">
        <v>4.4000000000000004</v>
      </c>
      <c r="G392" s="27">
        <v>9.4</v>
      </c>
      <c r="H392" s="28">
        <v>4.9000000000000004</v>
      </c>
      <c r="I392" s="28">
        <v>2.2000000000000002</v>
      </c>
      <c r="J392" s="28">
        <v>1</v>
      </c>
      <c r="K392" s="27" t="s">
        <v>576</v>
      </c>
      <c r="L392" s="27">
        <v>5</v>
      </c>
      <c r="M392" s="27">
        <v>4.97</v>
      </c>
      <c r="N392" s="1" t="s">
        <v>592</v>
      </c>
      <c r="O392" s="27">
        <v>29507.62</v>
      </c>
    </row>
    <row r="393" spans="1:15">
      <c r="A393" s="27" t="s">
        <v>242</v>
      </c>
      <c r="B393" s="27">
        <v>44</v>
      </c>
      <c r="C393" s="27" t="s">
        <v>541</v>
      </c>
      <c r="D393" s="27" t="s">
        <v>555</v>
      </c>
      <c r="E393" s="27">
        <v>2024</v>
      </c>
      <c r="F393" s="28">
        <v>9.6999999999999993</v>
      </c>
      <c r="G393" s="27">
        <v>4.5</v>
      </c>
      <c r="H393" s="28">
        <v>9.6</v>
      </c>
      <c r="I393" s="28">
        <v>2.4</v>
      </c>
      <c r="J393" s="28">
        <v>4.5</v>
      </c>
      <c r="K393" s="27" t="s">
        <v>578</v>
      </c>
      <c r="L393" s="27">
        <v>6</v>
      </c>
      <c r="M393" s="27">
        <v>5.77</v>
      </c>
      <c r="N393" s="1" t="s">
        <v>592</v>
      </c>
      <c r="O393" s="27">
        <v>60540.97</v>
      </c>
    </row>
    <row r="394" spans="1:15">
      <c r="A394" s="27" t="s">
        <v>324</v>
      </c>
      <c r="B394" s="27">
        <v>29</v>
      </c>
      <c r="C394" s="27" t="s">
        <v>543</v>
      </c>
      <c r="D394" s="27" t="s">
        <v>555</v>
      </c>
      <c r="E394" s="27">
        <v>2022</v>
      </c>
      <c r="F394" s="28">
        <v>5.0999999999999996</v>
      </c>
      <c r="G394" s="27">
        <v>5</v>
      </c>
      <c r="H394" s="28">
        <v>4.7</v>
      </c>
      <c r="I394" s="28">
        <v>8.6999999999999993</v>
      </c>
      <c r="J394" s="28">
        <v>4.4000000000000004</v>
      </c>
      <c r="K394" s="27" t="s">
        <v>571</v>
      </c>
      <c r="L394" s="27">
        <v>5</v>
      </c>
      <c r="M394" s="27">
        <v>5.73</v>
      </c>
      <c r="N394" s="1" t="s">
        <v>592</v>
      </c>
      <c r="O394" s="27">
        <v>70157.789999999994</v>
      </c>
    </row>
    <row r="395" spans="1:15">
      <c r="A395" s="27" t="s">
        <v>285</v>
      </c>
      <c r="B395" s="27">
        <v>73</v>
      </c>
      <c r="C395" s="27" t="s">
        <v>546</v>
      </c>
      <c r="D395" s="27" t="s">
        <v>550</v>
      </c>
      <c r="E395" s="27">
        <v>2022</v>
      </c>
      <c r="F395" s="28">
        <v>5.5</v>
      </c>
      <c r="G395" s="27">
        <v>5</v>
      </c>
      <c r="H395" s="28">
        <v>0.8</v>
      </c>
      <c r="I395" s="28">
        <v>3</v>
      </c>
      <c r="J395" s="28">
        <v>1.6</v>
      </c>
      <c r="K395" s="27" t="s">
        <v>546</v>
      </c>
      <c r="L395" s="27">
        <v>7</v>
      </c>
      <c r="M395" s="27">
        <v>3.87</v>
      </c>
      <c r="N395" s="1" t="s">
        <v>594</v>
      </c>
      <c r="O395" s="27">
        <v>39764.6</v>
      </c>
    </row>
    <row r="396" spans="1:15">
      <c r="A396" s="27" t="s">
        <v>468</v>
      </c>
      <c r="B396" s="27">
        <v>99</v>
      </c>
      <c r="C396" s="27" t="s">
        <v>543</v>
      </c>
      <c r="D396" s="27" t="s">
        <v>552</v>
      </c>
      <c r="E396" s="27">
        <v>2023</v>
      </c>
      <c r="F396" s="28">
        <v>4.4409090909090914</v>
      </c>
      <c r="G396" s="27">
        <v>7.9</v>
      </c>
      <c r="H396" s="28">
        <v>2.6</v>
      </c>
      <c r="I396" s="28">
        <v>5.2512195121951217</v>
      </c>
      <c r="J396" s="28">
        <v>7.1</v>
      </c>
      <c r="K396" s="27" t="s">
        <v>570</v>
      </c>
      <c r="L396" s="27">
        <v>6</v>
      </c>
      <c r="M396" s="27">
        <v>4.3</v>
      </c>
      <c r="N396" s="1" t="s">
        <v>592</v>
      </c>
      <c r="O396" s="27">
        <v>64226.9</v>
      </c>
    </row>
    <row r="397" spans="1:15">
      <c r="A397" s="27" t="s">
        <v>521</v>
      </c>
      <c r="B397" s="27">
        <v>84</v>
      </c>
      <c r="C397" s="27" t="s">
        <v>542</v>
      </c>
      <c r="D397" s="27" t="s">
        <v>556</v>
      </c>
      <c r="E397" s="27">
        <v>2024</v>
      </c>
      <c r="F397" s="28">
        <v>4.2</v>
      </c>
      <c r="G397" s="27">
        <v>7</v>
      </c>
      <c r="H397" s="28">
        <v>2.5</v>
      </c>
      <c r="I397" s="28">
        <v>8.6999999999999993</v>
      </c>
      <c r="J397" s="28">
        <v>5.4</v>
      </c>
      <c r="K397" s="27" t="s">
        <v>578</v>
      </c>
      <c r="L397" s="27">
        <v>5</v>
      </c>
      <c r="M397" s="27">
        <v>6</v>
      </c>
      <c r="N397" s="1" t="s">
        <v>592</v>
      </c>
      <c r="O397" s="27">
        <v>27367.02</v>
      </c>
    </row>
    <row r="398" spans="1:15">
      <c r="A398" s="27" t="s">
        <v>91</v>
      </c>
      <c r="B398" s="27">
        <v>79</v>
      </c>
      <c r="C398" s="27" t="s">
        <v>542</v>
      </c>
      <c r="D398" s="27" t="s">
        <v>550</v>
      </c>
      <c r="E398" s="27">
        <v>2024</v>
      </c>
      <c r="F398" s="28">
        <v>9.1999999999999993</v>
      </c>
      <c r="G398" s="27">
        <v>2.7</v>
      </c>
      <c r="H398" s="28">
        <v>2</v>
      </c>
      <c r="I398" s="28">
        <v>8</v>
      </c>
      <c r="J398" s="28">
        <v>4.7</v>
      </c>
      <c r="K398" s="27" t="s">
        <v>571</v>
      </c>
      <c r="L398" s="27">
        <v>5</v>
      </c>
      <c r="M398" s="27">
        <v>5.84</v>
      </c>
      <c r="N398" s="1" t="s">
        <v>592</v>
      </c>
      <c r="O398" s="27">
        <v>38672.839999999997</v>
      </c>
    </row>
    <row r="399" spans="1:15">
      <c r="A399" s="27" t="s">
        <v>150</v>
      </c>
      <c r="B399" s="27">
        <v>68</v>
      </c>
      <c r="C399" s="27" t="s">
        <v>542</v>
      </c>
      <c r="D399" s="27" t="s">
        <v>552</v>
      </c>
      <c r="E399" s="27">
        <v>2022</v>
      </c>
      <c r="F399" s="28">
        <v>3.8</v>
      </c>
      <c r="G399" s="27">
        <v>3.8</v>
      </c>
      <c r="H399" s="28">
        <v>2.5</v>
      </c>
      <c r="I399" s="28">
        <v>2.6</v>
      </c>
      <c r="J399" s="28">
        <v>8</v>
      </c>
      <c r="K399" s="27" t="s">
        <v>574</v>
      </c>
      <c r="L399" s="27">
        <v>7</v>
      </c>
      <c r="M399" s="27">
        <v>3.39</v>
      </c>
      <c r="N399" s="1" t="s">
        <v>594</v>
      </c>
      <c r="O399" s="27">
        <v>81633.509999999995</v>
      </c>
    </row>
    <row r="400" spans="1:15">
      <c r="A400" s="27" t="s">
        <v>531</v>
      </c>
      <c r="B400" s="27">
        <v>30</v>
      </c>
      <c r="C400" s="27" t="s">
        <v>542</v>
      </c>
      <c r="D400" s="27" t="s">
        <v>550</v>
      </c>
      <c r="E400" s="27">
        <v>2024</v>
      </c>
      <c r="F400" s="28">
        <v>9</v>
      </c>
      <c r="G400" s="27">
        <v>7</v>
      </c>
      <c r="H400" s="28">
        <v>3.1</v>
      </c>
      <c r="I400" s="28">
        <v>5.8</v>
      </c>
      <c r="J400" s="28">
        <v>2.8</v>
      </c>
      <c r="K400" s="27" t="s">
        <v>578</v>
      </c>
      <c r="L400" s="27">
        <v>4</v>
      </c>
      <c r="M400" s="27">
        <v>6.63</v>
      </c>
      <c r="N400" s="1" t="s">
        <v>590</v>
      </c>
      <c r="O400" s="27">
        <v>6497.11</v>
      </c>
    </row>
    <row r="401" spans="1:15">
      <c r="A401" s="27" t="s">
        <v>456</v>
      </c>
      <c r="B401" s="27">
        <v>38</v>
      </c>
      <c r="C401" s="27" t="s">
        <v>542</v>
      </c>
      <c r="D401" s="27" t="s">
        <v>551</v>
      </c>
      <c r="E401" s="27">
        <v>2022</v>
      </c>
      <c r="F401" s="28">
        <v>5.5</v>
      </c>
      <c r="G401" s="27">
        <v>9.4</v>
      </c>
      <c r="H401" s="28">
        <v>5.9</v>
      </c>
      <c r="I401" s="28">
        <v>4.3</v>
      </c>
      <c r="J401" s="28">
        <v>1.2</v>
      </c>
      <c r="K401" s="27" t="s">
        <v>570</v>
      </c>
      <c r="L401" s="27">
        <v>5</v>
      </c>
      <c r="M401" s="27">
        <v>5</v>
      </c>
      <c r="N401" s="1" t="s">
        <v>592</v>
      </c>
      <c r="O401" s="27">
        <v>68562.25</v>
      </c>
    </row>
    <row r="402" spans="1:15">
      <c r="A402" s="27" t="s">
        <v>47</v>
      </c>
      <c r="B402" s="27">
        <v>28</v>
      </c>
      <c r="C402" s="27" t="s">
        <v>541</v>
      </c>
      <c r="D402" s="27" t="s">
        <v>556</v>
      </c>
      <c r="E402" s="27">
        <v>2022</v>
      </c>
      <c r="F402" s="28">
        <v>0.8</v>
      </c>
      <c r="G402" s="27">
        <v>7.6</v>
      </c>
      <c r="H402" s="28">
        <v>4.9000000000000004</v>
      </c>
      <c r="I402" s="28">
        <v>1.8</v>
      </c>
      <c r="J402" s="28">
        <v>10</v>
      </c>
      <c r="K402" s="27" t="s">
        <v>573</v>
      </c>
      <c r="L402" s="27">
        <v>5</v>
      </c>
      <c r="M402" s="27">
        <v>5.26</v>
      </c>
      <c r="N402" s="1" t="s">
        <v>592</v>
      </c>
      <c r="O402" s="27">
        <v>6949.16</v>
      </c>
    </row>
    <row r="403" spans="1:15">
      <c r="A403" s="27" t="s">
        <v>262</v>
      </c>
      <c r="B403" s="27">
        <v>46</v>
      </c>
      <c r="C403" s="27" t="s">
        <v>543</v>
      </c>
      <c r="D403" s="27" t="s">
        <v>552</v>
      </c>
      <c r="E403" s="27">
        <v>2023</v>
      </c>
      <c r="F403" s="28">
        <v>7.5</v>
      </c>
      <c r="G403" s="27">
        <v>8.1</v>
      </c>
      <c r="H403" s="28">
        <v>5.4</v>
      </c>
      <c r="I403" s="28">
        <v>3.1</v>
      </c>
      <c r="J403" s="28">
        <v>8.6999999999999993</v>
      </c>
      <c r="K403" s="27" t="s">
        <v>579</v>
      </c>
      <c r="L403" s="27">
        <v>5</v>
      </c>
      <c r="M403" s="27">
        <v>5.37</v>
      </c>
      <c r="N403" s="1" t="s">
        <v>592</v>
      </c>
      <c r="O403" s="27">
        <v>82059.259999999995</v>
      </c>
    </row>
    <row r="404" spans="1:15">
      <c r="A404" s="27" t="s">
        <v>476</v>
      </c>
      <c r="B404" s="27">
        <v>48</v>
      </c>
      <c r="C404" s="27" t="s">
        <v>546</v>
      </c>
      <c r="D404" s="27" t="s">
        <v>551</v>
      </c>
      <c r="E404" s="27">
        <v>2023</v>
      </c>
      <c r="F404" s="28">
        <v>6.8</v>
      </c>
      <c r="G404" s="27">
        <v>4</v>
      </c>
      <c r="H404" s="28">
        <v>0.1</v>
      </c>
      <c r="I404" s="28">
        <v>6.8</v>
      </c>
      <c r="J404" s="28">
        <v>4.3342105263157888</v>
      </c>
      <c r="K404" s="27" t="s">
        <v>546</v>
      </c>
      <c r="L404" s="27">
        <v>6</v>
      </c>
      <c r="M404" s="27">
        <v>5.13</v>
      </c>
      <c r="N404" s="1" t="s">
        <v>592</v>
      </c>
      <c r="O404" s="27">
        <v>53668.72</v>
      </c>
    </row>
    <row r="405" spans="1:15">
      <c r="A405" s="27" t="s">
        <v>206</v>
      </c>
      <c r="B405" s="27">
        <v>77</v>
      </c>
      <c r="C405" s="27" t="s">
        <v>543</v>
      </c>
      <c r="D405" s="27" t="s">
        <v>672</v>
      </c>
      <c r="E405" s="27">
        <v>2024</v>
      </c>
      <c r="F405" s="28">
        <v>6.5</v>
      </c>
      <c r="G405" s="27">
        <v>1.7</v>
      </c>
      <c r="H405" s="28">
        <v>5.8</v>
      </c>
      <c r="I405" s="28">
        <v>0.4</v>
      </c>
      <c r="J405" s="28">
        <v>6.3</v>
      </c>
      <c r="K405" s="27" t="s">
        <v>570</v>
      </c>
      <c r="L405" s="27">
        <v>7</v>
      </c>
      <c r="M405" s="27">
        <v>3.75</v>
      </c>
      <c r="N405" s="1" t="s">
        <v>594</v>
      </c>
      <c r="O405" s="27">
        <v>69446.59</v>
      </c>
    </row>
    <row r="406" spans="1:15">
      <c r="A406" s="27" t="s">
        <v>358</v>
      </c>
      <c r="B406" s="27">
        <v>74</v>
      </c>
      <c r="C406" s="27" t="s">
        <v>541</v>
      </c>
      <c r="D406" s="27" t="s">
        <v>554</v>
      </c>
      <c r="E406" s="27">
        <v>2024</v>
      </c>
      <c r="F406" s="28">
        <v>6.5596491228070173</v>
      </c>
      <c r="G406" s="27">
        <v>6.6</v>
      </c>
      <c r="H406" s="28">
        <v>4.4190476190476193</v>
      </c>
      <c r="I406" s="28">
        <v>7.5</v>
      </c>
      <c r="J406" s="28">
        <v>7.2</v>
      </c>
      <c r="K406" s="27" t="s">
        <v>570</v>
      </c>
      <c r="L406" s="27">
        <v>5</v>
      </c>
      <c r="M406" s="27">
        <v>4.37</v>
      </c>
      <c r="N406" s="1" t="s">
        <v>592</v>
      </c>
      <c r="O406" s="27">
        <v>85317.77</v>
      </c>
    </row>
    <row r="407" spans="1:15">
      <c r="A407" s="27" t="s">
        <v>374</v>
      </c>
      <c r="B407" s="27">
        <v>89</v>
      </c>
      <c r="C407" s="27" t="s">
        <v>541</v>
      </c>
      <c r="D407" s="27" t="s">
        <v>645</v>
      </c>
      <c r="E407" s="27">
        <v>2024</v>
      </c>
      <c r="F407" s="28">
        <v>1.6</v>
      </c>
      <c r="G407" s="27">
        <v>0.4</v>
      </c>
      <c r="H407" s="28">
        <v>5.2</v>
      </c>
      <c r="I407" s="28">
        <v>2</v>
      </c>
      <c r="J407" s="28">
        <v>2.1199999999999997</v>
      </c>
      <c r="K407" s="27" t="s">
        <v>578</v>
      </c>
      <c r="L407" s="27">
        <v>7</v>
      </c>
      <c r="M407" s="27">
        <v>3.3</v>
      </c>
      <c r="N407" s="1" t="s">
        <v>594</v>
      </c>
      <c r="O407" s="27">
        <v>38318.31</v>
      </c>
    </row>
    <row r="408" spans="1:15">
      <c r="A408" s="27" t="s">
        <v>433</v>
      </c>
      <c r="B408" s="27">
        <v>65</v>
      </c>
      <c r="C408" s="27" t="s">
        <v>541</v>
      </c>
      <c r="D408" s="27" t="s">
        <v>554</v>
      </c>
      <c r="E408" s="27">
        <v>2024</v>
      </c>
      <c r="F408" s="28">
        <v>8.3000000000000007</v>
      </c>
      <c r="G408" s="27">
        <v>9.1</v>
      </c>
      <c r="H408" s="28">
        <v>2.2999999999999998</v>
      </c>
      <c r="I408" s="28">
        <v>3.2</v>
      </c>
      <c r="J408" s="28">
        <v>7.4</v>
      </c>
      <c r="K408" s="27" t="s">
        <v>576</v>
      </c>
      <c r="L408" s="27">
        <v>3</v>
      </c>
      <c r="M408" s="27">
        <v>6.47</v>
      </c>
      <c r="N408" s="1" t="s">
        <v>590</v>
      </c>
      <c r="O408" s="27">
        <v>13933.65</v>
      </c>
    </row>
    <row r="409" spans="1:15">
      <c r="A409" s="27" t="s">
        <v>108</v>
      </c>
      <c r="B409" s="27">
        <v>62</v>
      </c>
      <c r="C409" s="27" t="s">
        <v>543</v>
      </c>
      <c r="D409" s="27" t="s">
        <v>554</v>
      </c>
      <c r="E409" s="27">
        <v>2022</v>
      </c>
      <c r="F409" s="28">
        <v>7.6</v>
      </c>
      <c r="G409" s="27">
        <v>5.5</v>
      </c>
      <c r="H409" s="28">
        <v>1.7</v>
      </c>
      <c r="I409" s="28">
        <v>3.7</v>
      </c>
      <c r="J409" s="28">
        <v>8.1</v>
      </c>
      <c r="K409" s="27" t="s">
        <v>572</v>
      </c>
      <c r="L409" s="27">
        <v>6</v>
      </c>
      <c r="M409" s="27">
        <v>4.43</v>
      </c>
      <c r="N409" s="1" t="s">
        <v>592</v>
      </c>
      <c r="O409" s="27">
        <v>85829.23</v>
      </c>
    </row>
    <row r="410" spans="1:15">
      <c r="A410" s="27" t="s">
        <v>189</v>
      </c>
      <c r="B410" s="27">
        <v>84</v>
      </c>
      <c r="C410" s="27" t="s">
        <v>543</v>
      </c>
      <c r="D410" s="27" t="s">
        <v>555</v>
      </c>
      <c r="E410" s="27">
        <v>2024</v>
      </c>
      <c r="F410" s="28">
        <v>4.4000000000000004</v>
      </c>
      <c r="G410" s="27">
        <v>5.0999999999999996</v>
      </c>
      <c r="H410" s="28">
        <v>6.5</v>
      </c>
      <c r="I410" s="28">
        <v>5</v>
      </c>
      <c r="J410" s="28">
        <v>6.3</v>
      </c>
      <c r="K410" s="27" t="s">
        <v>578</v>
      </c>
      <c r="L410" s="27">
        <v>3</v>
      </c>
      <c r="M410" s="27">
        <v>6.07</v>
      </c>
      <c r="N410" s="1" t="s">
        <v>590</v>
      </c>
      <c r="O410" s="27">
        <v>8969.86</v>
      </c>
    </row>
    <row r="411" spans="1:15">
      <c r="A411" s="27" t="s">
        <v>522</v>
      </c>
      <c r="B411" s="27">
        <v>39</v>
      </c>
      <c r="C411" s="27" t="s">
        <v>542</v>
      </c>
      <c r="D411" s="27" t="s">
        <v>556</v>
      </c>
      <c r="E411" s="27">
        <v>2022</v>
      </c>
      <c r="F411" s="28">
        <v>100</v>
      </c>
      <c r="G411" s="27">
        <v>5.4</v>
      </c>
      <c r="H411" s="28">
        <v>5</v>
      </c>
      <c r="I411" s="28">
        <v>5.5</v>
      </c>
      <c r="J411" s="28">
        <v>9.1999999999999993</v>
      </c>
      <c r="K411" s="27" t="s">
        <v>578</v>
      </c>
      <c r="L411" s="27">
        <v>4</v>
      </c>
      <c r="M411" s="27">
        <v>6.45</v>
      </c>
      <c r="N411" s="1" t="s">
        <v>590</v>
      </c>
      <c r="O411" s="27">
        <v>50345.29</v>
      </c>
    </row>
    <row r="412" spans="1:15">
      <c r="A412" s="27" t="s">
        <v>537</v>
      </c>
      <c r="B412" s="27">
        <v>83</v>
      </c>
      <c r="C412" s="27" t="s">
        <v>542</v>
      </c>
      <c r="D412" s="27" t="s">
        <v>645</v>
      </c>
      <c r="E412" s="27">
        <v>2022</v>
      </c>
      <c r="F412" s="28">
        <v>6.9</v>
      </c>
      <c r="G412" s="27">
        <v>3</v>
      </c>
      <c r="H412" s="28">
        <v>5.9</v>
      </c>
      <c r="I412" s="28">
        <v>9.5</v>
      </c>
      <c r="J412" s="28">
        <v>0</v>
      </c>
      <c r="K412" s="27" t="s">
        <v>572</v>
      </c>
      <c r="L412" s="27">
        <v>3</v>
      </c>
      <c r="M412" s="27">
        <v>6.47</v>
      </c>
      <c r="N412" s="1" t="s">
        <v>590</v>
      </c>
      <c r="O412" s="27">
        <v>7482.54</v>
      </c>
    </row>
    <row r="413" spans="1:15">
      <c r="A413" s="27" t="s">
        <v>260</v>
      </c>
      <c r="B413" s="27">
        <v>75</v>
      </c>
      <c r="C413" s="27" t="s">
        <v>543</v>
      </c>
      <c r="D413" s="27" t="s">
        <v>553</v>
      </c>
      <c r="E413" s="27">
        <v>2022</v>
      </c>
      <c r="F413" s="28">
        <v>5.2</v>
      </c>
      <c r="G413" s="27">
        <v>9.1999999999999993</v>
      </c>
      <c r="H413" s="28">
        <v>9.5</v>
      </c>
      <c r="I413" s="28">
        <v>9.5</v>
      </c>
      <c r="J413" s="28">
        <v>5.6</v>
      </c>
      <c r="K413" s="27" t="s">
        <v>571</v>
      </c>
      <c r="L413" s="27">
        <v>4</v>
      </c>
      <c r="M413" s="27">
        <v>6.6</v>
      </c>
      <c r="N413" s="1" t="s">
        <v>590</v>
      </c>
      <c r="O413" s="27">
        <v>85189.4</v>
      </c>
    </row>
    <row r="414" spans="1:15">
      <c r="A414" s="27" t="s">
        <v>290</v>
      </c>
      <c r="B414" s="27">
        <v>33</v>
      </c>
      <c r="C414" s="27" t="s">
        <v>541</v>
      </c>
      <c r="D414" s="27" t="s">
        <v>555</v>
      </c>
      <c r="E414" s="27">
        <v>2023</v>
      </c>
      <c r="F414" s="28">
        <v>9.6999999999999993</v>
      </c>
      <c r="G414" s="27">
        <v>7.7</v>
      </c>
      <c r="H414" s="28">
        <v>9.8000000000000007</v>
      </c>
      <c r="I414" s="28">
        <v>4</v>
      </c>
      <c r="J414" s="28">
        <v>0.7</v>
      </c>
      <c r="K414" s="27" t="s">
        <v>570</v>
      </c>
      <c r="L414" s="27">
        <v>3</v>
      </c>
      <c r="M414" s="27">
        <v>6.6</v>
      </c>
      <c r="N414" s="1" t="s">
        <v>590</v>
      </c>
      <c r="O414" s="27">
        <v>41721.81</v>
      </c>
    </row>
    <row r="415" spans="1:15">
      <c r="A415" s="27" t="s">
        <v>525</v>
      </c>
      <c r="B415" s="27">
        <v>61</v>
      </c>
      <c r="C415" s="27" t="s">
        <v>541</v>
      </c>
      <c r="D415" s="27" t="s">
        <v>555</v>
      </c>
      <c r="E415" s="27">
        <v>2024</v>
      </c>
      <c r="F415" s="28">
        <v>0</v>
      </c>
      <c r="G415" s="27">
        <v>2.1</v>
      </c>
      <c r="H415" s="28">
        <v>3.8</v>
      </c>
      <c r="I415" s="28">
        <v>1.4</v>
      </c>
      <c r="J415" s="28">
        <v>3.3</v>
      </c>
      <c r="K415" s="27" t="s">
        <v>570</v>
      </c>
      <c r="L415" s="27">
        <v>8</v>
      </c>
      <c r="M415" s="27">
        <v>3</v>
      </c>
      <c r="N415" s="1" t="s">
        <v>594</v>
      </c>
      <c r="O415" s="27">
        <v>24735.74</v>
      </c>
    </row>
    <row r="416" spans="1:15">
      <c r="A416" s="27" t="s">
        <v>385</v>
      </c>
      <c r="B416" s="27">
        <v>72</v>
      </c>
      <c r="C416" s="27" t="s">
        <v>541</v>
      </c>
      <c r="D416" s="27" t="s">
        <v>672</v>
      </c>
      <c r="E416" s="27">
        <v>2022</v>
      </c>
      <c r="F416" s="28">
        <v>8.6</v>
      </c>
      <c r="G416" s="27">
        <v>4.9000000000000004</v>
      </c>
      <c r="H416" s="28">
        <v>3.9</v>
      </c>
      <c r="I416" s="28">
        <v>1.7</v>
      </c>
      <c r="J416" s="28">
        <v>9.5</v>
      </c>
      <c r="K416" s="27" t="s">
        <v>571</v>
      </c>
      <c r="L416" s="27">
        <v>6</v>
      </c>
      <c r="M416" s="27">
        <v>4.53</v>
      </c>
      <c r="N416" s="1" t="s">
        <v>592</v>
      </c>
      <c r="O416" s="27">
        <v>89919.82</v>
      </c>
    </row>
    <row r="417" spans="1:15">
      <c r="A417" s="27" t="s">
        <v>218</v>
      </c>
      <c r="B417" s="27">
        <v>53</v>
      </c>
      <c r="C417" s="27" t="s">
        <v>541</v>
      </c>
      <c r="D417" s="27" t="s">
        <v>549</v>
      </c>
      <c r="E417" s="27">
        <v>2024</v>
      </c>
      <c r="F417" s="28">
        <v>6.7</v>
      </c>
      <c r="G417" s="27">
        <v>5.7</v>
      </c>
      <c r="H417" s="28">
        <v>8.1999999999999993</v>
      </c>
      <c r="I417" s="28">
        <v>5.0999999999999996</v>
      </c>
      <c r="J417" s="28">
        <v>2.5</v>
      </c>
      <c r="K417" s="27" t="s">
        <v>571</v>
      </c>
      <c r="L417" s="27">
        <v>6</v>
      </c>
      <c r="M417" s="27">
        <v>5.5</v>
      </c>
      <c r="N417" s="1" t="s">
        <v>592</v>
      </c>
      <c r="O417" s="27">
        <v>59907.97</v>
      </c>
    </row>
    <row r="418" spans="1:15">
      <c r="A418" s="27" t="s">
        <v>243</v>
      </c>
      <c r="B418" s="27">
        <v>73</v>
      </c>
      <c r="C418" s="27" t="s">
        <v>543</v>
      </c>
      <c r="D418" s="27" t="s">
        <v>672</v>
      </c>
      <c r="E418" s="27">
        <v>2023</v>
      </c>
      <c r="F418" s="28">
        <v>2.9</v>
      </c>
      <c r="G418" s="27">
        <v>0.8</v>
      </c>
      <c r="H418" s="28">
        <v>1.6</v>
      </c>
      <c r="I418" s="28">
        <v>8.3000000000000007</v>
      </c>
      <c r="J418" s="28">
        <v>3.9</v>
      </c>
      <c r="K418" s="27" t="s">
        <v>579</v>
      </c>
      <c r="L418" s="27">
        <v>5</v>
      </c>
      <c r="M418" s="27">
        <v>4.33</v>
      </c>
      <c r="N418" s="1" t="s">
        <v>592</v>
      </c>
      <c r="O418" s="27">
        <v>33018.879999999997</v>
      </c>
    </row>
    <row r="419" spans="1:15">
      <c r="A419" s="27" t="s">
        <v>540</v>
      </c>
      <c r="B419" s="27">
        <v>50</v>
      </c>
      <c r="C419" s="27" t="s">
        <v>542</v>
      </c>
      <c r="D419" s="27" t="s">
        <v>549</v>
      </c>
      <c r="E419" s="27">
        <v>2022</v>
      </c>
      <c r="F419" s="28">
        <v>6.1</v>
      </c>
      <c r="G419" s="27">
        <v>0.9</v>
      </c>
      <c r="H419" s="28">
        <v>0.1</v>
      </c>
      <c r="I419" s="28">
        <v>6.7</v>
      </c>
      <c r="J419" s="28">
        <v>1.8</v>
      </c>
      <c r="K419" s="27" t="s">
        <v>572</v>
      </c>
      <c r="L419" s="27">
        <v>6</v>
      </c>
      <c r="M419" s="27">
        <v>4.4000000000000004</v>
      </c>
      <c r="N419" s="1" t="s">
        <v>592</v>
      </c>
      <c r="O419" s="27">
        <v>24584.04</v>
      </c>
    </row>
    <row r="420" spans="1:15">
      <c r="A420" s="27" t="s">
        <v>198</v>
      </c>
      <c r="B420" s="27">
        <v>23</v>
      </c>
      <c r="C420" s="27" t="s">
        <v>543</v>
      </c>
      <c r="D420" s="27" t="s">
        <v>551</v>
      </c>
      <c r="E420" s="27">
        <v>2022</v>
      </c>
      <c r="F420" s="28">
        <v>4.8</v>
      </c>
      <c r="G420" s="27">
        <v>5.3</v>
      </c>
      <c r="H420" s="28">
        <v>9.8000000000000007</v>
      </c>
      <c r="I420" s="28">
        <v>4.6515151515151514</v>
      </c>
      <c r="J420" s="28">
        <v>7.8</v>
      </c>
      <c r="K420" s="27" t="s">
        <v>579</v>
      </c>
      <c r="L420" s="27">
        <v>5</v>
      </c>
      <c r="M420" s="27">
        <v>4.8600000000000003</v>
      </c>
      <c r="N420" s="1" t="s">
        <v>592</v>
      </c>
      <c r="O420" s="27">
        <v>75326.38</v>
      </c>
    </row>
    <row r="421" spans="1:15">
      <c r="A421" s="27" t="s">
        <v>363</v>
      </c>
      <c r="B421" s="27">
        <v>76</v>
      </c>
      <c r="C421" s="27" t="s">
        <v>541</v>
      </c>
      <c r="D421" s="27" t="s">
        <v>556</v>
      </c>
      <c r="E421" s="27">
        <v>2023</v>
      </c>
      <c r="F421" s="28">
        <v>6.8</v>
      </c>
      <c r="G421" s="27">
        <v>5.8</v>
      </c>
      <c r="H421" s="28">
        <v>2.6</v>
      </c>
      <c r="I421" s="28">
        <v>9.9</v>
      </c>
      <c r="J421" s="28">
        <v>6.1</v>
      </c>
      <c r="K421" s="27" t="s">
        <v>574</v>
      </c>
      <c r="L421" s="27">
        <v>3</v>
      </c>
      <c r="M421" s="27">
        <v>6.27</v>
      </c>
      <c r="N421" s="1" t="s">
        <v>590</v>
      </c>
      <c r="O421" s="27">
        <v>46955.11</v>
      </c>
    </row>
    <row r="422" spans="1:15">
      <c r="A422" s="27" t="s">
        <v>181</v>
      </c>
      <c r="B422" s="27">
        <v>36</v>
      </c>
      <c r="C422" s="27" t="s">
        <v>546</v>
      </c>
      <c r="D422" s="27" t="s">
        <v>549</v>
      </c>
      <c r="E422" s="27">
        <v>2023</v>
      </c>
      <c r="F422" s="28">
        <v>8.5</v>
      </c>
      <c r="G422" s="27">
        <v>8.9</v>
      </c>
      <c r="H422" s="28">
        <v>7.1</v>
      </c>
      <c r="I422" s="28">
        <v>4.4000000000000004</v>
      </c>
      <c r="J422" s="28">
        <v>6.9</v>
      </c>
      <c r="K422" s="27" t="s">
        <v>572</v>
      </c>
      <c r="L422" s="27">
        <v>3</v>
      </c>
      <c r="M422" s="27">
        <v>6.22</v>
      </c>
      <c r="N422" s="1" t="s">
        <v>590</v>
      </c>
      <c r="O422" s="27">
        <v>72276.73</v>
      </c>
    </row>
    <row r="423" spans="1:15">
      <c r="A423" s="27" t="s">
        <v>536</v>
      </c>
      <c r="B423" s="27">
        <v>67</v>
      </c>
      <c r="C423" s="27" t="s">
        <v>541</v>
      </c>
      <c r="D423" s="27" t="s">
        <v>554</v>
      </c>
      <c r="E423" s="27">
        <v>2022</v>
      </c>
      <c r="F423" s="28">
        <v>9.1999999999999993</v>
      </c>
      <c r="G423" s="27">
        <v>6.8</v>
      </c>
      <c r="H423" s="28">
        <v>8.4</v>
      </c>
      <c r="I423" s="28">
        <v>8.4</v>
      </c>
      <c r="J423" s="28">
        <v>7.6</v>
      </c>
      <c r="K423" s="27" t="s">
        <v>571</v>
      </c>
      <c r="L423" s="27">
        <v>4</v>
      </c>
      <c r="M423" s="27">
        <v>7.13</v>
      </c>
      <c r="N423" s="1" t="s">
        <v>590</v>
      </c>
      <c r="O423" s="27">
        <v>71716.990000000005</v>
      </c>
    </row>
    <row r="424" spans="1:15">
      <c r="A424" s="27" t="s">
        <v>194</v>
      </c>
      <c r="B424" s="27">
        <v>69</v>
      </c>
      <c r="C424" s="27" t="s">
        <v>541</v>
      </c>
      <c r="D424" s="27" t="s">
        <v>672</v>
      </c>
      <c r="E424" s="27">
        <v>2024</v>
      </c>
      <c r="F424" s="28">
        <v>4.6530612244897958</v>
      </c>
      <c r="G424" s="27">
        <v>2.2000000000000002</v>
      </c>
      <c r="H424" s="28">
        <v>4.9000000000000004</v>
      </c>
      <c r="I424" s="28">
        <v>0</v>
      </c>
      <c r="J424" s="28">
        <v>1.1000000000000001</v>
      </c>
      <c r="K424" s="27" t="s">
        <v>570</v>
      </c>
      <c r="L424" s="27">
        <v>7</v>
      </c>
      <c r="M424" s="27">
        <v>3.12</v>
      </c>
      <c r="N424" s="1" t="s">
        <v>594</v>
      </c>
      <c r="O424" s="27">
        <v>60891.88</v>
      </c>
    </row>
    <row r="425" spans="1:15">
      <c r="A425" s="27" t="s">
        <v>268</v>
      </c>
      <c r="B425" s="27">
        <v>66</v>
      </c>
      <c r="C425" s="27" t="s">
        <v>542</v>
      </c>
      <c r="D425" s="27" t="s">
        <v>550</v>
      </c>
      <c r="E425" s="27">
        <v>2023</v>
      </c>
      <c r="F425" s="28">
        <v>0.3</v>
      </c>
      <c r="G425" s="27">
        <v>8.9</v>
      </c>
      <c r="H425" s="28">
        <v>2.2999999999999998</v>
      </c>
      <c r="I425" s="28">
        <v>0.8</v>
      </c>
      <c r="J425" s="28">
        <v>5.7</v>
      </c>
      <c r="K425" s="27" t="s">
        <v>574</v>
      </c>
      <c r="L425" s="27">
        <v>8</v>
      </c>
      <c r="M425" s="27">
        <v>2.52</v>
      </c>
      <c r="N425" s="1" t="s">
        <v>594</v>
      </c>
      <c r="O425" s="27">
        <v>97309.26</v>
      </c>
    </row>
    <row r="426" spans="1:15">
      <c r="A426" s="27" t="s">
        <v>511</v>
      </c>
      <c r="B426" s="27">
        <v>49</v>
      </c>
      <c r="C426" s="27" t="s">
        <v>542</v>
      </c>
      <c r="D426" s="27" t="s">
        <v>672</v>
      </c>
      <c r="E426" s="27">
        <v>2024</v>
      </c>
      <c r="F426" s="28">
        <v>7.5</v>
      </c>
      <c r="G426" s="27">
        <v>4.5999999999999996</v>
      </c>
      <c r="H426" s="28">
        <v>2.6</v>
      </c>
      <c r="I426" s="28">
        <v>5</v>
      </c>
      <c r="J426" s="28">
        <v>0.4</v>
      </c>
      <c r="K426" s="27" t="s">
        <v>579</v>
      </c>
      <c r="L426" s="27">
        <v>8</v>
      </c>
      <c r="M426" s="27">
        <v>3.99</v>
      </c>
      <c r="N426" s="1" t="s">
        <v>594</v>
      </c>
      <c r="O426" s="27">
        <v>81640.320000000007</v>
      </c>
    </row>
    <row r="427" spans="1:15">
      <c r="A427" s="27" t="s">
        <v>222</v>
      </c>
      <c r="B427" s="27">
        <v>79</v>
      </c>
      <c r="C427" s="27" t="s">
        <v>543</v>
      </c>
      <c r="D427" s="27" t="s">
        <v>549</v>
      </c>
      <c r="E427" s="27">
        <v>2022</v>
      </c>
      <c r="F427" s="28">
        <v>2.4</v>
      </c>
      <c r="G427" s="27">
        <v>0.7</v>
      </c>
      <c r="H427" s="28">
        <v>7.6</v>
      </c>
      <c r="I427" s="28">
        <v>1.3</v>
      </c>
      <c r="J427" s="28">
        <v>1.2</v>
      </c>
      <c r="K427" s="27" t="s">
        <v>570</v>
      </c>
      <c r="L427" s="27">
        <v>8</v>
      </c>
      <c r="M427" s="27">
        <v>2.2000000000000002</v>
      </c>
      <c r="N427" s="1" t="s">
        <v>594</v>
      </c>
      <c r="O427" s="27">
        <v>95007.58</v>
      </c>
    </row>
    <row r="428" spans="1:15">
      <c r="A428" s="27" t="s">
        <v>190</v>
      </c>
      <c r="B428" s="27">
        <v>33</v>
      </c>
      <c r="C428" s="27" t="s">
        <v>541</v>
      </c>
      <c r="D428" s="27" t="s">
        <v>555</v>
      </c>
      <c r="E428" s="27">
        <v>2024</v>
      </c>
      <c r="F428" s="28">
        <v>6.4</v>
      </c>
      <c r="G428" s="27">
        <v>8.3000000000000007</v>
      </c>
      <c r="H428" s="28">
        <v>2.7</v>
      </c>
      <c r="I428" s="28">
        <v>2.2999999999999998</v>
      </c>
      <c r="J428" s="28">
        <v>3.8</v>
      </c>
      <c r="K428" s="27" t="s">
        <v>570</v>
      </c>
      <c r="L428" s="27">
        <v>5</v>
      </c>
      <c r="M428" s="27">
        <v>4.87</v>
      </c>
      <c r="N428" s="1" t="s">
        <v>592</v>
      </c>
      <c r="O428" s="27">
        <v>44912.97</v>
      </c>
    </row>
    <row r="429" spans="1:15">
      <c r="A429" s="27" t="s">
        <v>70</v>
      </c>
      <c r="B429" s="27">
        <v>37</v>
      </c>
      <c r="C429" s="27" t="s">
        <v>543</v>
      </c>
      <c r="D429" s="27" t="s">
        <v>645</v>
      </c>
      <c r="E429" s="27">
        <v>2024</v>
      </c>
      <c r="F429" s="28">
        <v>3.9</v>
      </c>
      <c r="G429" s="27">
        <v>7.6</v>
      </c>
      <c r="H429" s="28">
        <v>8.5</v>
      </c>
      <c r="I429" s="28">
        <v>9.9</v>
      </c>
      <c r="J429" s="28">
        <v>1.8181818181818186</v>
      </c>
      <c r="K429" s="27" t="s">
        <v>579</v>
      </c>
      <c r="L429" s="27">
        <v>4</v>
      </c>
      <c r="M429" s="27">
        <v>7.21</v>
      </c>
      <c r="N429" s="1" t="s">
        <v>590</v>
      </c>
      <c r="O429" s="27">
        <v>22437.66</v>
      </c>
    </row>
    <row r="430" spans="1:15">
      <c r="A430" s="27" t="s">
        <v>326</v>
      </c>
      <c r="B430" s="27">
        <v>27</v>
      </c>
      <c r="C430" s="27" t="s">
        <v>541</v>
      </c>
      <c r="D430" s="27" t="s">
        <v>550</v>
      </c>
      <c r="E430" s="27">
        <v>2022</v>
      </c>
      <c r="F430" s="28">
        <v>1.6</v>
      </c>
      <c r="G430" s="27">
        <v>7.2</v>
      </c>
      <c r="H430" s="28">
        <v>9</v>
      </c>
      <c r="I430" s="28">
        <v>3.4</v>
      </c>
      <c r="J430" s="28">
        <v>6.1</v>
      </c>
      <c r="K430" s="27" t="s">
        <v>572</v>
      </c>
      <c r="L430" s="27">
        <v>6</v>
      </c>
      <c r="M430" s="27">
        <v>4.37</v>
      </c>
      <c r="N430" s="1" t="s">
        <v>592</v>
      </c>
      <c r="O430" s="27">
        <v>83724.320000000007</v>
      </c>
    </row>
    <row r="431" spans="1:15">
      <c r="A431" s="27" t="s">
        <v>23</v>
      </c>
      <c r="B431" s="27">
        <v>45</v>
      </c>
      <c r="C431" s="27" t="s">
        <v>541</v>
      </c>
      <c r="D431" s="27" t="s">
        <v>555</v>
      </c>
      <c r="E431" s="27">
        <v>2023</v>
      </c>
      <c r="F431" s="28">
        <v>7.5</v>
      </c>
      <c r="G431" s="27">
        <v>1.2</v>
      </c>
      <c r="H431" s="28">
        <v>4.4000000000000004</v>
      </c>
      <c r="I431" s="28">
        <v>7.8</v>
      </c>
      <c r="J431" s="28">
        <v>6.1</v>
      </c>
      <c r="K431" s="27" t="s">
        <v>576</v>
      </c>
      <c r="L431" s="27">
        <v>5</v>
      </c>
      <c r="M431" s="27">
        <v>5.2</v>
      </c>
      <c r="N431" s="1" t="s">
        <v>592</v>
      </c>
      <c r="O431" s="27">
        <v>65443.55</v>
      </c>
    </row>
    <row r="432" spans="1:15">
      <c r="A432" s="27" t="s">
        <v>237</v>
      </c>
      <c r="B432" s="27">
        <v>83</v>
      </c>
      <c r="C432" s="27" t="s">
        <v>543</v>
      </c>
      <c r="D432" s="27" t="s">
        <v>550</v>
      </c>
      <c r="E432" s="27">
        <v>2024</v>
      </c>
      <c r="F432" s="28">
        <v>9.4</v>
      </c>
      <c r="G432" s="27">
        <v>4.7</v>
      </c>
      <c r="H432" s="28">
        <v>8.6</v>
      </c>
      <c r="I432" s="28">
        <v>2.2999999999999998</v>
      </c>
      <c r="J432" s="28">
        <v>7.6</v>
      </c>
      <c r="K432" s="27" t="s">
        <v>570</v>
      </c>
      <c r="L432" s="27">
        <v>3</v>
      </c>
      <c r="M432" s="27">
        <v>6.97</v>
      </c>
      <c r="N432" s="1" t="s">
        <v>590</v>
      </c>
      <c r="O432" s="27">
        <v>6241.78</v>
      </c>
    </row>
    <row r="433" spans="1:15">
      <c r="A433" s="27" t="s">
        <v>78</v>
      </c>
      <c r="B433" s="27">
        <v>84</v>
      </c>
      <c r="C433" s="27" t="s">
        <v>541</v>
      </c>
      <c r="D433" s="27" t="s">
        <v>552</v>
      </c>
      <c r="E433" s="27">
        <v>2022</v>
      </c>
      <c r="F433" s="28">
        <v>10</v>
      </c>
      <c r="G433" s="27">
        <v>8.6999999999999993</v>
      </c>
      <c r="H433" s="28">
        <v>4.5</v>
      </c>
      <c r="I433" s="28">
        <v>0.7</v>
      </c>
      <c r="J433" s="28">
        <v>9.8000000000000007</v>
      </c>
      <c r="K433" s="27" t="s">
        <v>570</v>
      </c>
      <c r="L433" s="27">
        <v>4</v>
      </c>
      <c r="M433" s="27">
        <v>6.67</v>
      </c>
      <c r="N433" s="1" t="s">
        <v>590</v>
      </c>
      <c r="O433" s="27">
        <v>21725.51</v>
      </c>
    </row>
    <row r="434" spans="1:15">
      <c r="A434" s="27" t="s">
        <v>95</v>
      </c>
      <c r="B434" s="27">
        <v>55</v>
      </c>
      <c r="C434" s="27" t="s">
        <v>543</v>
      </c>
      <c r="D434" s="27" t="s">
        <v>554</v>
      </c>
      <c r="E434" s="27">
        <v>2022</v>
      </c>
      <c r="F434" s="28">
        <v>3.9</v>
      </c>
      <c r="G434" s="27">
        <v>0.6</v>
      </c>
      <c r="H434" s="28">
        <v>8.6</v>
      </c>
      <c r="I434" s="28">
        <v>2.2000000000000002</v>
      </c>
      <c r="J434" s="28">
        <v>6.8</v>
      </c>
      <c r="K434" s="27" t="s">
        <v>579</v>
      </c>
      <c r="L434" s="27">
        <v>5</v>
      </c>
      <c r="M434" s="27">
        <v>5.13</v>
      </c>
      <c r="N434" s="1" t="s">
        <v>592</v>
      </c>
      <c r="O434" s="27">
        <v>7418.51</v>
      </c>
    </row>
    <row r="435" spans="1:15">
      <c r="A435" s="27" t="s">
        <v>20</v>
      </c>
      <c r="B435" s="27">
        <v>44</v>
      </c>
      <c r="C435" s="27" t="s">
        <v>543</v>
      </c>
      <c r="D435" s="27" t="s">
        <v>553</v>
      </c>
      <c r="E435" s="27">
        <v>2022</v>
      </c>
      <c r="F435" s="28">
        <v>6.8</v>
      </c>
      <c r="G435" s="27">
        <v>5.8</v>
      </c>
      <c r="H435" s="28">
        <v>1.5</v>
      </c>
      <c r="I435" s="28">
        <v>4.9107142857142856</v>
      </c>
      <c r="J435" s="28">
        <v>6.3</v>
      </c>
      <c r="K435" s="27" t="s">
        <v>546</v>
      </c>
      <c r="L435" s="27">
        <v>5</v>
      </c>
      <c r="M435" s="27">
        <v>5.29</v>
      </c>
      <c r="N435" s="1" t="s">
        <v>592</v>
      </c>
      <c r="O435" s="27">
        <v>25754.37</v>
      </c>
    </row>
    <row r="436" spans="1:15">
      <c r="A436" s="27" t="s">
        <v>199</v>
      </c>
      <c r="B436" s="27">
        <v>49</v>
      </c>
      <c r="C436" s="27" t="s">
        <v>543</v>
      </c>
      <c r="D436" s="27" t="s">
        <v>549</v>
      </c>
      <c r="E436" s="27">
        <v>2022</v>
      </c>
      <c r="F436" s="28">
        <v>7.6</v>
      </c>
      <c r="G436" s="27">
        <v>3.2</v>
      </c>
      <c r="H436" s="28">
        <v>5.161538461538461</v>
      </c>
      <c r="I436" s="28">
        <v>5.2</v>
      </c>
      <c r="J436" s="28">
        <v>7.4</v>
      </c>
      <c r="K436" s="27" t="s">
        <v>576</v>
      </c>
      <c r="L436" s="27">
        <v>6</v>
      </c>
      <c r="M436" s="27">
        <v>5.04</v>
      </c>
      <c r="N436" s="1" t="s">
        <v>592</v>
      </c>
      <c r="O436" s="27">
        <v>57969.27</v>
      </c>
    </row>
    <row r="437" spans="1:15">
      <c r="A437" s="27" t="s">
        <v>75</v>
      </c>
      <c r="B437" s="27">
        <v>69</v>
      </c>
      <c r="C437" s="27" t="s">
        <v>543</v>
      </c>
      <c r="D437" s="27" t="s">
        <v>556</v>
      </c>
      <c r="E437" s="27">
        <v>2022</v>
      </c>
      <c r="F437" s="28">
        <v>3.7</v>
      </c>
      <c r="G437" s="27">
        <v>6.4</v>
      </c>
      <c r="H437" s="28">
        <v>4.7</v>
      </c>
      <c r="I437" s="28">
        <v>2.8</v>
      </c>
      <c r="J437" s="28">
        <v>5.2148148148148143</v>
      </c>
      <c r="K437" s="27" t="s">
        <v>571</v>
      </c>
      <c r="L437" s="27">
        <v>8</v>
      </c>
      <c r="M437" s="27">
        <v>3.8</v>
      </c>
      <c r="N437" s="1" t="s">
        <v>594</v>
      </c>
      <c r="O437" s="27">
        <v>62850.49</v>
      </c>
    </row>
    <row r="438" spans="1:15">
      <c r="A438" s="27" t="s">
        <v>267</v>
      </c>
      <c r="B438" s="27">
        <v>21</v>
      </c>
      <c r="C438" s="27" t="s">
        <v>546</v>
      </c>
      <c r="D438" s="27" t="s">
        <v>552</v>
      </c>
      <c r="E438" s="27">
        <v>2023</v>
      </c>
      <c r="F438" s="28">
        <v>8.1</v>
      </c>
      <c r="G438" s="27">
        <v>1</v>
      </c>
      <c r="H438" s="28">
        <v>4.8</v>
      </c>
      <c r="I438" s="28">
        <v>9.4</v>
      </c>
      <c r="J438" s="28">
        <v>2.9</v>
      </c>
      <c r="K438" s="27" t="s">
        <v>579</v>
      </c>
      <c r="L438" s="27">
        <v>5</v>
      </c>
      <c r="M438" s="27">
        <v>5.44</v>
      </c>
      <c r="N438" s="1" t="s">
        <v>592</v>
      </c>
      <c r="O438" s="27">
        <v>60890.34</v>
      </c>
    </row>
    <row r="439" spans="1:15">
      <c r="A439" s="27" t="s">
        <v>281</v>
      </c>
      <c r="B439" s="27">
        <v>27</v>
      </c>
      <c r="C439" s="27" t="s">
        <v>546</v>
      </c>
      <c r="D439" s="27" t="s">
        <v>645</v>
      </c>
      <c r="E439" s="27">
        <v>2024</v>
      </c>
      <c r="F439" s="28">
        <v>3.1</v>
      </c>
      <c r="G439" s="27">
        <v>4.8</v>
      </c>
      <c r="H439" s="28">
        <v>4</v>
      </c>
      <c r="I439" s="28">
        <v>1.4</v>
      </c>
      <c r="J439" s="28">
        <v>8.6</v>
      </c>
      <c r="K439" s="27" t="s">
        <v>573</v>
      </c>
      <c r="L439" s="27">
        <v>8</v>
      </c>
      <c r="M439" s="27">
        <v>3.13</v>
      </c>
      <c r="N439" s="1" t="s">
        <v>594</v>
      </c>
      <c r="O439" s="27">
        <v>61264.58</v>
      </c>
    </row>
    <row r="440" spans="1:15">
      <c r="A440" s="27" t="s">
        <v>390</v>
      </c>
      <c r="B440" s="27">
        <v>36</v>
      </c>
      <c r="C440" s="27" t="s">
        <v>541</v>
      </c>
      <c r="D440" s="27" t="s">
        <v>555</v>
      </c>
      <c r="E440" s="27">
        <v>2024</v>
      </c>
      <c r="F440" s="28">
        <v>2.4</v>
      </c>
      <c r="G440" s="27">
        <v>4.5999999999999996</v>
      </c>
      <c r="H440" s="28">
        <v>9.5</v>
      </c>
      <c r="I440" s="28">
        <v>2.2999999999999998</v>
      </c>
      <c r="J440" s="28">
        <v>5.4</v>
      </c>
      <c r="K440" s="27" t="s">
        <v>572</v>
      </c>
      <c r="L440" s="27">
        <v>5</v>
      </c>
      <c r="M440" s="27">
        <v>4.87</v>
      </c>
      <c r="N440" s="1" t="s">
        <v>592</v>
      </c>
      <c r="O440" s="27">
        <v>36286.65</v>
      </c>
    </row>
    <row r="441" spans="1:15">
      <c r="A441" s="27" t="s">
        <v>293</v>
      </c>
      <c r="B441" s="27">
        <v>40</v>
      </c>
      <c r="C441" s="27" t="s">
        <v>543</v>
      </c>
      <c r="D441" s="27" t="s">
        <v>549</v>
      </c>
      <c r="E441" s="27">
        <v>2024</v>
      </c>
      <c r="F441" s="28">
        <v>4.3</v>
      </c>
      <c r="G441" s="27">
        <v>6.3</v>
      </c>
      <c r="H441" s="28">
        <v>3.2</v>
      </c>
      <c r="I441" s="28">
        <v>9.3000000000000007</v>
      </c>
      <c r="J441" s="28">
        <v>6.5</v>
      </c>
      <c r="K441" s="27" t="s">
        <v>571</v>
      </c>
      <c r="L441" s="27">
        <v>1</v>
      </c>
      <c r="M441" s="27">
        <v>31</v>
      </c>
      <c r="N441" s="1" t="s">
        <v>591</v>
      </c>
      <c r="O441" s="27">
        <v>30039.25</v>
      </c>
    </row>
    <row r="442" spans="1:15">
      <c r="A442" s="27" t="s">
        <v>159</v>
      </c>
      <c r="B442" s="27">
        <v>23</v>
      </c>
      <c r="C442" s="27" t="s">
        <v>541</v>
      </c>
      <c r="D442" s="27" t="s">
        <v>554</v>
      </c>
      <c r="E442" s="27">
        <v>2022</v>
      </c>
      <c r="F442" s="28">
        <v>5</v>
      </c>
      <c r="G442" s="27">
        <v>0.7</v>
      </c>
      <c r="H442" s="28">
        <v>9</v>
      </c>
      <c r="I442" s="28">
        <v>6.2</v>
      </c>
      <c r="J442" s="28">
        <v>4</v>
      </c>
      <c r="K442" s="27" t="s">
        <v>574</v>
      </c>
      <c r="L442" s="27">
        <v>6</v>
      </c>
      <c r="M442" s="27">
        <v>4.5199999999999996</v>
      </c>
      <c r="N442" s="1" t="s">
        <v>592</v>
      </c>
      <c r="O442" s="27">
        <v>78871.960000000006</v>
      </c>
    </row>
    <row r="443" spans="1:15">
      <c r="A443" s="27" t="s">
        <v>144</v>
      </c>
      <c r="B443" s="27">
        <v>77</v>
      </c>
      <c r="C443" s="27" t="s">
        <v>542</v>
      </c>
      <c r="D443" s="27" t="s">
        <v>553</v>
      </c>
      <c r="E443" s="27">
        <v>2022</v>
      </c>
      <c r="F443" s="28">
        <v>9.4</v>
      </c>
      <c r="G443" s="27">
        <v>3.3</v>
      </c>
      <c r="H443" s="28">
        <v>7.1</v>
      </c>
      <c r="I443" s="28">
        <v>8.3000000000000007</v>
      </c>
      <c r="J443" s="28">
        <v>7.7</v>
      </c>
      <c r="K443" s="27" t="s">
        <v>573</v>
      </c>
      <c r="L443" s="27">
        <v>5</v>
      </c>
      <c r="M443" s="27">
        <v>5.89</v>
      </c>
      <c r="N443" s="1" t="s">
        <v>592</v>
      </c>
      <c r="O443" s="27">
        <v>98791.92</v>
      </c>
    </row>
    <row r="444" spans="1:15">
      <c r="A444" s="27" t="s">
        <v>369</v>
      </c>
      <c r="B444" s="27">
        <v>81</v>
      </c>
      <c r="C444" s="27" t="s">
        <v>542</v>
      </c>
      <c r="D444" s="27" t="s">
        <v>645</v>
      </c>
      <c r="E444" s="27">
        <v>2024</v>
      </c>
      <c r="F444" s="28">
        <v>6.5</v>
      </c>
      <c r="G444" s="27">
        <v>3</v>
      </c>
      <c r="H444" s="28">
        <v>8.9</v>
      </c>
      <c r="I444" s="28">
        <v>3.8</v>
      </c>
      <c r="J444" s="28">
        <v>2.2000000000000002</v>
      </c>
      <c r="K444" s="27" t="s">
        <v>572</v>
      </c>
      <c r="L444" s="27">
        <v>6</v>
      </c>
      <c r="M444" s="27">
        <v>5.1100000000000003</v>
      </c>
      <c r="N444" s="1" t="s">
        <v>592</v>
      </c>
      <c r="O444" s="27">
        <v>47801.59</v>
      </c>
    </row>
    <row r="445" spans="1:15">
      <c r="A445" s="27" t="s">
        <v>176</v>
      </c>
      <c r="B445" s="27">
        <v>77</v>
      </c>
      <c r="C445" s="27" t="s">
        <v>541</v>
      </c>
      <c r="D445" s="27" t="s">
        <v>556</v>
      </c>
      <c r="E445" s="27">
        <v>2024</v>
      </c>
      <c r="F445" s="28">
        <v>2.6</v>
      </c>
      <c r="G445" s="27">
        <v>4.9000000000000004</v>
      </c>
      <c r="H445" s="28">
        <v>4.3</v>
      </c>
      <c r="I445" s="28">
        <v>3.3</v>
      </c>
      <c r="J445" s="28">
        <v>0.1</v>
      </c>
      <c r="K445" s="27" t="s">
        <v>576</v>
      </c>
      <c r="L445" s="27">
        <v>7</v>
      </c>
      <c r="M445" s="27">
        <v>3.39</v>
      </c>
      <c r="N445" s="1" t="s">
        <v>594</v>
      </c>
      <c r="O445" s="27">
        <v>96388.21</v>
      </c>
    </row>
    <row r="446" spans="1:15">
      <c r="A446" s="27" t="s">
        <v>500</v>
      </c>
      <c r="B446" s="27">
        <v>23</v>
      </c>
      <c r="C446" s="27" t="s">
        <v>546</v>
      </c>
      <c r="D446" s="27" t="s">
        <v>550</v>
      </c>
      <c r="E446" s="27">
        <v>2024</v>
      </c>
      <c r="F446" s="28">
        <v>9.8000000000000007</v>
      </c>
      <c r="G446" s="27">
        <v>4</v>
      </c>
      <c r="H446" s="28">
        <v>9</v>
      </c>
      <c r="I446" s="28">
        <v>8</v>
      </c>
      <c r="J446" s="28">
        <v>5.5</v>
      </c>
      <c r="K446" s="27" t="s">
        <v>546</v>
      </c>
      <c r="L446" s="27">
        <v>3</v>
      </c>
      <c r="M446" s="27">
        <v>7.33</v>
      </c>
      <c r="N446" s="1" t="s">
        <v>590</v>
      </c>
      <c r="O446" s="27">
        <v>48728.46</v>
      </c>
    </row>
    <row r="447" spans="1:15">
      <c r="A447" s="27" t="s">
        <v>508</v>
      </c>
      <c r="B447" s="27">
        <v>25</v>
      </c>
      <c r="C447" s="27" t="s">
        <v>541</v>
      </c>
      <c r="D447" s="27" t="s">
        <v>551</v>
      </c>
      <c r="E447" s="27">
        <v>2023</v>
      </c>
      <c r="F447" s="28">
        <v>2.4</v>
      </c>
      <c r="G447" s="27">
        <v>4.0999999999999996</v>
      </c>
      <c r="H447" s="28">
        <v>4.5000000000000009</v>
      </c>
      <c r="I447" s="28">
        <v>3.9</v>
      </c>
      <c r="J447" s="28">
        <v>6.4</v>
      </c>
      <c r="K447" s="27" t="s">
        <v>576</v>
      </c>
      <c r="L447" s="27">
        <v>6</v>
      </c>
      <c r="M447" s="27">
        <v>4.57</v>
      </c>
      <c r="N447" s="1" t="s">
        <v>592</v>
      </c>
      <c r="O447" s="27">
        <v>37676.57</v>
      </c>
    </row>
    <row r="448" spans="1:15">
      <c r="A448" s="27" t="s">
        <v>101</v>
      </c>
      <c r="B448" s="27">
        <v>47</v>
      </c>
      <c r="C448" s="27" t="s">
        <v>541</v>
      </c>
      <c r="D448" s="27" t="s">
        <v>553</v>
      </c>
      <c r="E448" s="27">
        <v>2023</v>
      </c>
      <c r="F448" s="28">
        <v>0.1</v>
      </c>
      <c r="G448" s="27">
        <v>0.9</v>
      </c>
      <c r="H448" s="28">
        <v>4.3</v>
      </c>
      <c r="I448" s="28">
        <v>10</v>
      </c>
      <c r="J448" s="28">
        <v>2.9</v>
      </c>
      <c r="K448" s="27" t="s">
        <v>576</v>
      </c>
      <c r="L448" s="27">
        <v>7</v>
      </c>
      <c r="M448" s="27">
        <v>3.23</v>
      </c>
      <c r="N448" s="1" t="s">
        <v>594</v>
      </c>
      <c r="O448" s="27">
        <v>93134.63</v>
      </c>
    </row>
    <row r="449" spans="1:15">
      <c r="A449" s="27" t="s">
        <v>58</v>
      </c>
      <c r="B449" s="27">
        <v>72</v>
      </c>
      <c r="C449" s="27" t="s">
        <v>543</v>
      </c>
      <c r="D449" s="27" t="s">
        <v>551</v>
      </c>
      <c r="E449" s="27">
        <v>2022</v>
      </c>
      <c r="F449" s="28">
        <v>8.8000000000000007</v>
      </c>
      <c r="G449" s="27">
        <v>1.9</v>
      </c>
      <c r="H449" s="28">
        <v>4.9304347826086952</v>
      </c>
      <c r="I449" s="28">
        <v>2.4</v>
      </c>
      <c r="J449" s="28">
        <v>4.0999999999999996</v>
      </c>
      <c r="K449" s="27" t="s">
        <v>572</v>
      </c>
      <c r="L449" s="27">
        <v>6</v>
      </c>
      <c r="M449" s="27">
        <v>4.6100000000000003</v>
      </c>
      <c r="N449" s="1" t="s">
        <v>592</v>
      </c>
      <c r="O449" s="27">
        <v>66534.52</v>
      </c>
    </row>
    <row r="450" spans="1:15">
      <c r="A450" s="27" t="s">
        <v>533</v>
      </c>
      <c r="B450" s="27">
        <v>37</v>
      </c>
      <c r="C450" s="27" t="s">
        <v>543</v>
      </c>
      <c r="D450" s="27" t="s">
        <v>554</v>
      </c>
      <c r="E450" s="27">
        <v>2023</v>
      </c>
      <c r="F450" s="28">
        <v>5.5</v>
      </c>
      <c r="G450" s="27">
        <v>4.0999999999999996</v>
      </c>
      <c r="H450" s="28">
        <v>9.1</v>
      </c>
      <c r="I450" s="28">
        <v>1.5</v>
      </c>
      <c r="J450" s="28">
        <v>0.1</v>
      </c>
      <c r="K450" s="27" t="s">
        <v>574</v>
      </c>
      <c r="L450" s="27">
        <v>5</v>
      </c>
      <c r="M450" s="27">
        <v>4.6900000000000004</v>
      </c>
      <c r="N450" s="1" t="s">
        <v>592</v>
      </c>
      <c r="O450" s="27">
        <v>75460.929999999993</v>
      </c>
    </row>
    <row r="451" spans="1:15">
      <c r="A451" s="27" t="s">
        <v>317</v>
      </c>
      <c r="B451" s="27">
        <v>49</v>
      </c>
      <c r="C451" s="27" t="s">
        <v>541</v>
      </c>
      <c r="D451" s="27" t="s">
        <v>550</v>
      </c>
      <c r="E451" s="27">
        <v>2022</v>
      </c>
      <c r="F451" s="28">
        <v>7.6</v>
      </c>
      <c r="G451" s="27">
        <v>3.5</v>
      </c>
      <c r="H451" s="28">
        <v>1.6</v>
      </c>
      <c r="I451" s="28">
        <v>9.5</v>
      </c>
      <c r="J451" s="28">
        <v>2.6</v>
      </c>
      <c r="K451" s="27" t="s">
        <v>578</v>
      </c>
      <c r="L451" s="27">
        <v>5</v>
      </c>
      <c r="M451" s="27">
        <v>4.5999999999999996</v>
      </c>
      <c r="N451" s="1" t="s">
        <v>592</v>
      </c>
      <c r="O451" s="27">
        <v>92497.73</v>
      </c>
    </row>
    <row r="452" spans="1:15">
      <c r="A452" s="27" t="s">
        <v>203</v>
      </c>
      <c r="B452" s="27">
        <v>86</v>
      </c>
      <c r="C452" s="27" t="s">
        <v>541</v>
      </c>
      <c r="D452" s="27" t="s">
        <v>645</v>
      </c>
      <c r="E452" s="27">
        <v>2022</v>
      </c>
      <c r="F452" s="28">
        <v>5.5</v>
      </c>
      <c r="G452" s="27">
        <v>2.2000000000000002</v>
      </c>
      <c r="H452" s="28">
        <v>5.2</v>
      </c>
      <c r="I452" s="28">
        <v>8.4</v>
      </c>
      <c r="J452" s="28">
        <v>0.1</v>
      </c>
      <c r="K452" s="27" t="s">
        <v>571</v>
      </c>
      <c r="L452" s="27">
        <v>6</v>
      </c>
      <c r="M452" s="27">
        <v>4.25</v>
      </c>
      <c r="N452" s="1" t="s">
        <v>592</v>
      </c>
      <c r="O452" s="27">
        <v>82523.55</v>
      </c>
    </row>
    <row r="453" spans="1:15">
      <c r="A453" s="27" t="s">
        <v>328</v>
      </c>
      <c r="B453" s="27">
        <v>89</v>
      </c>
      <c r="C453" s="27" t="s">
        <v>542</v>
      </c>
      <c r="D453" s="27" t="s">
        <v>552</v>
      </c>
      <c r="E453" s="27">
        <v>2024</v>
      </c>
      <c r="F453" s="28">
        <v>1.7</v>
      </c>
      <c r="G453" s="27">
        <v>8.8000000000000007</v>
      </c>
      <c r="H453" s="28">
        <v>0.5</v>
      </c>
      <c r="I453" s="28">
        <v>6.1</v>
      </c>
      <c r="J453" s="28">
        <v>5</v>
      </c>
      <c r="K453" s="27" t="s">
        <v>576</v>
      </c>
      <c r="L453" s="27">
        <v>5</v>
      </c>
      <c r="M453" s="27">
        <v>4.41</v>
      </c>
      <c r="N453" s="1" t="s">
        <v>592</v>
      </c>
      <c r="O453" s="27">
        <v>52059.519999999997</v>
      </c>
    </row>
    <row r="454" spans="1:15">
      <c r="A454" s="27" t="s">
        <v>306</v>
      </c>
      <c r="B454" s="27">
        <v>51</v>
      </c>
      <c r="C454" s="27" t="s">
        <v>543</v>
      </c>
      <c r="D454" s="27" t="s">
        <v>554</v>
      </c>
      <c r="E454" s="27">
        <v>2023</v>
      </c>
      <c r="F454" s="28">
        <v>6.8</v>
      </c>
      <c r="G454" s="27">
        <v>5.3</v>
      </c>
      <c r="H454" s="28">
        <v>5.7</v>
      </c>
      <c r="I454" s="28">
        <v>0.4</v>
      </c>
      <c r="J454" s="28">
        <v>6.9</v>
      </c>
      <c r="K454" s="27" t="s">
        <v>572</v>
      </c>
      <c r="L454" s="27">
        <v>6</v>
      </c>
      <c r="M454" s="27">
        <v>5.54</v>
      </c>
      <c r="N454" s="1" t="s">
        <v>592</v>
      </c>
      <c r="O454" s="27">
        <v>12084.45</v>
      </c>
    </row>
    <row r="455" spans="1:15">
      <c r="A455" s="27" t="s">
        <v>396</v>
      </c>
      <c r="B455" s="27">
        <v>72</v>
      </c>
      <c r="C455" s="27" t="s">
        <v>543</v>
      </c>
      <c r="D455" s="27" t="s">
        <v>555</v>
      </c>
      <c r="E455" s="27">
        <v>2024</v>
      </c>
      <c r="F455" s="28">
        <v>9.6</v>
      </c>
      <c r="G455" s="27">
        <v>4</v>
      </c>
      <c r="H455" s="28">
        <v>8.1</v>
      </c>
      <c r="I455" s="28">
        <v>5.7</v>
      </c>
      <c r="J455" s="28">
        <v>1.1000000000000001</v>
      </c>
      <c r="K455" s="27" t="s">
        <v>571</v>
      </c>
      <c r="L455" s="27">
        <v>4</v>
      </c>
      <c r="M455" s="27">
        <v>6.56</v>
      </c>
      <c r="N455" s="1" t="s">
        <v>590</v>
      </c>
      <c r="O455" s="27">
        <v>21002.49</v>
      </c>
    </row>
    <row r="456" spans="1:15">
      <c r="A456" s="27" t="s">
        <v>45</v>
      </c>
      <c r="B456" s="27">
        <v>21</v>
      </c>
      <c r="C456" s="27" t="s">
        <v>543</v>
      </c>
      <c r="D456" s="27" t="s">
        <v>554</v>
      </c>
      <c r="E456" s="27">
        <v>2023</v>
      </c>
      <c r="F456" s="28">
        <v>8.8000000000000007</v>
      </c>
      <c r="G456" s="27">
        <v>4.2</v>
      </c>
      <c r="H456" s="28">
        <v>9.9</v>
      </c>
      <c r="I456" s="28">
        <v>3.3</v>
      </c>
      <c r="J456" s="28">
        <v>4.7</v>
      </c>
      <c r="K456" s="27" t="s">
        <v>571</v>
      </c>
      <c r="L456" s="27">
        <v>6</v>
      </c>
      <c r="M456" s="27">
        <v>5.62</v>
      </c>
      <c r="N456" s="1" t="s">
        <v>592</v>
      </c>
      <c r="O456" s="27">
        <v>47387.43</v>
      </c>
    </row>
    <row r="457" spans="1:15">
      <c r="A457" s="27" t="s">
        <v>110</v>
      </c>
      <c r="B457" s="27">
        <v>49</v>
      </c>
      <c r="C457" s="27" t="s">
        <v>543</v>
      </c>
      <c r="D457" s="27" t="s">
        <v>549</v>
      </c>
      <c r="E457" s="27">
        <v>2024</v>
      </c>
      <c r="F457" s="28">
        <v>2.6</v>
      </c>
      <c r="G457" s="27">
        <v>1.9</v>
      </c>
      <c r="H457" s="28">
        <v>5.5</v>
      </c>
      <c r="I457" s="28">
        <v>4.2</v>
      </c>
      <c r="J457" s="28">
        <v>5.3</v>
      </c>
      <c r="K457" s="27" t="s">
        <v>574</v>
      </c>
      <c r="L457" s="27">
        <v>5</v>
      </c>
      <c r="M457" s="27">
        <v>4.53</v>
      </c>
      <c r="N457" s="1" t="s">
        <v>592</v>
      </c>
      <c r="O457" s="27">
        <v>23347.22</v>
      </c>
    </row>
    <row r="458" spans="1:15">
      <c r="A458" s="27" t="s">
        <v>345</v>
      </c>
      <c r="B458" s="27">
        <v>60</v>
      </c>
      <c r="C458" s="27" t="s">
        <v>541</v>
      </c>
      <c r="D458" s="27" t="s">
        <v>645</v>
      </c>
      <c r="E458" s="27">
        <v>2024</v>
      </c>
      <c r="F458" s="28">
        <v>7.6</v>
      </c>
      <c r="G458" s="27">
        <v>1.6</v>
      </c>
      <c r="H458" s="28">
        <v>3.4</v>
      </c>
      <c r="I458" s="28">
        <v>4.4000000000000004</v>
      </c>
      <c r="J458" s="28">
        <v>99</v>
      </c>
      <c r="K458" s="27" t="s">
        <v>576</v>
      </c>
      <c r="L458" s="27">
        <v>5</v>
      </c>
      <c r="M458" s="27">
        <v>5.16</v>
      </c>
      <c r="N458" s="1" t="s">
        <v>592</v>
      </c>
      <c r="O458" s="27">
        <v>42564.05</v>
      </c>
    </row>
    <row r="459" spans="1:15">
      <c r="A459" s="27" t="s">
        <v>360</v>
      </c>
      <c r="B459" s="27">
        <v>53</v>
      </c>
      <c r="C459" s="27" t="s">
        <v>542</v>
      </c>
      <c r="D459" s="27" t="s">
        <v>549</v>
      </c>
      <c r="E459" s="27">
        <v>2024</v>
      </c>
      <c r="F459" s="28">
        <v>3.7</v>
      </c>
      <c r="G459" s="27">
        <v>2.9</v>
      </c>
      <c r="H459" s="28">
        <v>3.5</v>
      </c>
      <c r="I459" s="28">
        <v>4.4000000000000004</v>
      </c>
      <c r="J459" s="28">
        <v>3.2</v>
      </c>
      <c r="K459" s="27" t="s">
        <v>572</v>
      </c>
      <c r="L459" s="27">
        <v>1</v>
      </c>
      <c r="M459" s="27">
        <v>18</v>
      </c>
      <c r="N459" s="1" t="s">
        <v>591</v>
      </c>
      <c r="O459" s="27">
        <v>37177.339999999997</v>
      </c>
    </row>
    <row r="460" spans="1:15">
      <c r="A460" s="27" t="s">
        <v>31</v>
      </c>
      <c r="B460" s="27">
        <v>55</v>
      </c>
      <c r="C460" s="27" t="s">
        <v>541</v>
      </c>
      <c r="D460" s="27" t="s">
        <v>552</v>
      </c>
      <c r="E460" s="27">
        <v>2022</v>
      </c>
      <c r="F460" s="28">
        <v>4.9000000000000004</v>
      </c>
      <c r="G460" s="27">
        <v>5.9</v>
      </c>
      <c r="H460" s="28">
        <v>2.2999999999999998</v>
      </c>
      <c r="I460" s="28">
        <v>8.5</v>
      </c>
      <c r="J460" s="28">
        <v>6.8</v>
      </c>
      <c r="K460" s="27" t="s">
        <v>578</v>
      </c>
      <c r="L460" s="27">
        <v>6</v>
      </c>
      <c r="M460" s="27">
        <v>5.97</v>
      </c>
      <c r="N460" s="1" t="s">
        <v>592</v>
      </c>
      <c r="O460" s="27">
        <v>36889.919999999998</v>
      </c>
    </row>
    <row r="461" spans="1:15">
      <c r="A461" s="27" t="s">
        <v>115</v>
      </c>
      <c r="B461" s="27">
        <v>85</v>
      </c>
      <c r="C461" s="27" t="s">
        <v>541</v>
      </c>
      <c r="D461" s="27" t="s">
        <v>551</v>
      </c>
      <c r="E461" s="27">
        <v>2022</v>
      </c>
      <c r="F461" s="28">
        <v>6.7</v>
      </c>
      <c r="G461" s="27">
        <v>7.7</v>
      </c>
      <c r="H461" s="28">
        <v>10</v>
      </c>
      <c r="I461" s="28">
        <v>5.3</v>
      </c>
      <c r="J461" s="28">
        <v>5.4</v>
      </c>
      <c r="K461" s="27" t="s">
        <v>573</v>
      </c>
      <c r="L461" s="27">
        <v>4</v>
      </c>
      <c r="M461" s="27">
        <v>7.15</v>
      </c>
      <c r="N461" s="1" t="s">
        <v>590</v>
      </c>
      <c r="O461" s="27">
        <v>22083.71</v>
      </c>
    </row>
    <row r="462" spans="1:15">
      <c r="A462" s="27" t="s">
        <v>39</v>
      </c>
      <c r="B462" s="27">
        <v>69</v>
      </c>
      <c r="C462" s="27" t="s">
        <v>541</v>
      </c>
      <c r="D462" s="27" t="s">
        <v>551</v>
      </c>
      <c r="E462" s="27">
        <v>2024</v>
      </c>
      <c r="F462" s="28">
        <v>8.1999999999999993</v>
      </c>
      <c r="G462" s="27">
        <v>3.6</v>
      </c>
      <c r="H462" s="28">
        <v>5.3</v>
      </c>
      <c r="I462" s="28">
        <v>1.2</v>
      </c>
      <c r="J462" s="28">
        <v>9.5</v>
      </c>
      <c r="K462" s="27" t="s">
        <v>573</v>
      </c>
      <c r="L462" s="27">
        <v>6</v>
      </c>
      <c r="M462" s="27">
        <v>5.21</v>
      </c>
      <c r="N462" s="1" t="s">
        <v>592</v>
      </c>
      <c r="O462" s="27">
        <v>47989.98</v>
      </c>
    </row>
    <row r="463" spans="1:15">
      <c r="A463" s="27" t="s">
        <v>175</v>
      </c>
      <c r="B463" s="27">
        <v>84</v>
      </c>
      <c r="C463" s="27" t="s">
        <v>541</v>
      </c>
      <c r="D463" s="27" t="s">
        <v>556</v>
      </c>
      <c r="E463" s="27">
        <v>2024</v>
      </c>
      <c r="F463" s="28">
        <v>1.9</v>
      </c>
      <c r="G463" s="27">
        <v>2.2000000000000002</v>
      </c>
      <c r="H463" s="28">
        <v>4.0999999999999996</v>
      </c>
      <c r="I463" s="28">
        <v>8.8000000000000007</v>
      </c>
      <c r="J463" s="28">
        <v>2.2000000000000002</v>
      </c>
      <c r="K463" s="27" t="s">
        <v>574</v>
      </c>
      <c r="L463" s="27">
        <v>8</v>
      </c>
      <c r="M463" s="27">
        <v>3.43</v>
      </c>
      <c r="N463" s="1" t="s">
        <v>594</v>
      </c>
      <c r="O463" s="27">
        <v>93655.4</v>
      </c>
    </row>
    <row r="464" spans="1:15">
      <c r="A464" s="27" t="s">
        <v>105</v>
      </c>
      <c r="B464" s="27">
        <v>34</v>
      </c>
      <c r="C464" s="27" t="s">
        <v>542</v>
      </c>
      <c r="D464" s="27" t="s">
        <v>554</v>
      </c>
      <c r="E464" s="27">
        <v>2022</v>
      </c>
      <c r="F464" s="28">
        <v>1.3</v>
      </c>
      <c r="G464" s="27">
        <v>7.8</v>
      </c>
      <c r="H464" s="28">
        <v>9.5</v>
      </c>
      <c r="I464" s="28">
        <v>0.7</v>
      </c>
      <c r="J464" s="28">
        <v>5.2</v>
      </c>
      <c r="K464" s="27" t="s">
        <v>579</v>
      </c>
      <c r="L464" s="27">
        <v>6</v>
      </c>
      <c r="M464" s="27">
        <v>4.45</v>
      </c>
      <c r="N464" s="1" t="s">
        <v>592</v>
      </c>
      <c r="O464" s="27">
        <v>53284.52</v>
      </c>
    </row>
    <row r="465" spans="1:15">
      <c r="A465" s="27" t="s">
        <v>408</v>
      </c>
      <c r="B465" s="27">
        <v>42</v>
      </c>
      <c r="C465" s="27" t="s">
        <v>542</v>
      </c>
      <c r="D465" s="27" t="s">
        <v>552</v>
      </c>
      <c r="E465" s="27">
        <v>2022</v>
      </c>
      <c r="F465" s="28">
        <v>3.4</v>
      </c>
      <c r="G465" s="27">
        <v>2.2999999999999998</v>
      </c>
      <c r="H465" s="28">
        <v>4.7111111111111121</v>
      </c>
      <c r="I465" s="28">
        <v>1.5</v>
      </c>
      <c r="J465" s="28">
        <v>5.5</v>
      </c>
      <c r="K465" s="27" t="s">
        <v>570</v>
      </c>
      <c r="L465" s="27">
        <v>6</v>
      </c>
      <c r="M465" s="27">
        <v>4.2</v>
      </c>
      <c r="N465" s="1" t="s">
        <v>592</v>
      </c>
      <c r="O465" s="27">
        <v>33371.19</v>
      </c>
    </row>
    <row r="466" spans="1:15">
      <c r="A466" s="27" t="s">
        <v>219</v>
      </c>
      <c r="B466" s="27">
        <v>89</v>
      </c>
      <c r="C466" s="27" t="s">
        <v>542</v>
      </c>
      <c r="D466" s="27" t="s">
        <v>549</v>
      </c>
      <c r="E466" s="27">
        <v>2023</v>
      </c>
      <c r="F466" s="28">
        <v>5.7971962616822426</v>
      </c>
      <c r="G466" s="27">
        <v>1.7</v>
      </c>
      <c r="H466" s="28">
        <v>2</v>
      </c>
      <c r="I466" s="28">
        <v>3.6</v>
      </c>
      <c r="J466" s="28">
        <v>2.7</v>
      </c>
      <c r="K466" s="27" t="s">
        <v>576</v>
      </c>
      <c r="L466" s="27">
        <v>6</v>
      </c>
      <c r="M466" s="27">
        <v>4.04</v>
      </c>
      <c r="N466" s="1" t="s">
        <v>592</v>
      </c>
      <c r="O466" s="27">
        <v>62316.54</v>
      </c>
    </row>
    <row r="467" spans="1:15">
      <c r="A467" s="27" t="s">
        <v>496</v>
      </c>
      <c r="B467" s="27">
        <v>88</v>
      </c>
      <c r="C467" s="27" t="s">
        <v>542</v>
      </c>
      <c r="D467" s="27" t="s">
        <v>551</v>
      </c>
      <c r="E467" s="27">
        <v>2023</v>
      </c>
      <c r="F467" s="28">
        <v>1.8</v>
      </c>
      <c r="G467" s="27">
        <v>7</v>
      </c>
      <c r="H467" s="28">
        <v>5.9</v>
      </c>
      <c r="I467" s="28">
        <v>3.1</v>
      </c>
      <c r="J467" s="28">
        <v>4.347999999999999</v>
      </c>
      <c r="K467" s="27" t="s">
        <v>573</v>
      </c>
      <c r="L467" s="27">
        <v>5</v>
      </c>
      <c r="M467" s="27">
        <v>4.58</v>
      </c>
      <c r="N467" s="1" t="s">
        <v>592</v>
      </c>
      <c r="O467" s="27">
        <v>63957.06</v>
      </c>
    </row>
    <row r="468" spans="1:15">
      <c r="A468" s="27" t="s">
        <v>391</v>
      </c>
      <c r="B468" s="27">
        <v>39</v>
      </c>
      <c r="C468" s="27" t="s">
        <v>542</v>
      </c>
      <c r="D468" s="27" t="s">
        <v>552</v>
      </c>
      <c r="E468" s="27">
        <v>2024</v>
      </c>
      <c r="F468" s="28">
        <v>7.4</v>
      </c>
      <c r="G468" s="27">
        <v>3.3</v>
      </c>
      <c r="H468" s="28">
        <v>7.7</v>
      </c>
      <c r="I468" s="28">
        <v>3</v>
      </c>
      <c r="J468" s="28">
        <v>7.4</v>
      </c>
      <c r="K468" s="27" t="s">
        <v>579</v>
      </c>
      <c r="L468" s="27">
        <v>5</v>
      </c>
      <c r="M468" s="27">
        <v>4.8</v>
      </c>
      <c r="N468" s="1" t="s">
        <v>592</v>
      </c>
      <c r="O468" s="27">
        <v>83507.360000000001</v>
      </c>
    </row>
    <row r="469" spans="1:15">
      <c r="A469" s="27" t="s">
        <v>62</v>
      </c>
      <c r="B469" s="27">
        <v>77</v>
      </c>
      <c r="C469" s="27" t="s">
        <v>543</v>
      </c>
      <c r="D469" s="27" t="s">
        <v>555</v>
      </c>
      <c r="E469" s="27">
        <v>2023</v>
      </c>
      <c r="F469" s="28">
        <v>3.4</v>
      </c>
      <c r="G469" s="27">
        <v>4.4000000000000004</v>
      </c>
      <c r="H469" s="28">
        <v>1.2</v>
      </c>
      <c r="I469" s="28">
        <v>6.9</v>
      </c>
      <c r="J469" s="28">
        <v>1.8</v>
      </c>
      <c r="K469" s="27" t="s">
        <v>571</v>
      </c>
      <c r="L469" s="27">
        <v>5</v>
      </c>
      <c r="M469" s="27">
        <v>4.3499999999999996</v>
      </c>
      <c r="N469" s="1" t="s">
        <v>592</v>
      </c>
      <c r="O469" s="27">
        <v>55792.04</v>
      </c>
    </row>
    <row r="470" spans="1:15">
      <c r="A470" s="27" t="s">
        <v>411</v>
      </c>
      <c r="B470" s="27">
        <v>23</v>
      </c>
      <c r="C470" s="27" t="s">
        <v>543</v>
      </c>
      <c r="D470" s="27" t="s">
        <v>551</v>
      </c>
      <c r="E470" s="27">
        <v>2023</v>
      </c>
      <c r="F470" s="28">
        <v>7.8</v>
      </c>
      <c r="G470" s="27">
        <v>6.7</v>
      </c>
      <c r="H470" s="28">
        <v>3.8</v>
      </c>
      <c r="I470" s="28">
        <v>6.6</v>
      </c>
      <c r="J470" s="28">
        <v>0.4</v>
      </c>
      <c r="K470" s="27" t="s">
        <v>579</v>
      </c>
      <c r="L470" s="27">
        <v>6</v>
      </c>
      <c r="M470" s="27">
        <v>5.96</v>
      </c>
      <c r="N470" s="1" t="s">
        <v>592</v>
      </c>
      <c r="O470" s="27">
        <v>26660.17</v>
      </c>
    </row>
    <row r="471" spans="1:15">
      <c r="A471" s="27" t="s">
        <v>301</v>
      </c>
      <c r="B471" s="27">
        <v>70</v>
      </c>
      <c r="C471" s="27" t="s">
        <v>541</v>
      </c>
      <c r="D471" s="27" t="s">
        <v>550</v>
      </c>
      <c r="E471" s="27">
        <v>2023</v>
      </c>
      <c r="F471" s="28">
        <v>8.4</v>
      </c>
      <c r="G471" s="27">
        <v>4.4000000000000004</v>
      </c>
      <c r="H471" s="28">
        <v>2.2999999999999998</v>
      </c>
      <c r="I471" s="28">
        <v>3.8</v>
      </c>
      <c r="J471" s="28">
        <v>9</v>
      </c>
      <c r="K471" s="27" t="s">
        <v>571</v>
      </c>
      <c r="L471" s="27">
        <v>5</v>
      </c>
      <c r="M471" s="27">
        <v>5.43</v>
      </c>
      <c r="N471" s="1" t="s">
        <v>592</v>
      </c>
      <c r="O471" s="27">
        <v>17817.36</v>
      </c>
    </row>
    <row r="472" spans="1:15">
      <c r="A472" s="27" t="s">
        <v>230</v>
      </c>
      <c r="B472" s="27">
        <v>70</v>
      </c>
      <c r="C472" s="27" t="s">
        <v>543</v>
      </c>
      <c r="D472" s="27" t="s">
        <v>551</v>
      </c>
      <c r="E472" s="27">
        <v>2023</v>
      </c>
      <c r="F472" s="28">
        <v>9.5</v>
      </c>
      <c r="G472" s="27">
        <v>4.3</v>
      </c>
      <c r="H472" s="28">
        <v>0.8</v>
      </c>
      <c r="I472" s="28">
        <v>7.5</v>
      </c>
      <c r="J472" s="28">
        <v>0.2</v>
      </c>
      <c r="K472" s="27" t="s">
        <v>572</v>
      </c>
      <c r="L472" s="27">
        <v>5</v>
      </c>
      <c r="M472" s="27">
        <v>4.75</v>
      </c>
      <c r="N472" s="1" t="s">
        <v>592</v>
      </c>
      <c r="O472" s="27">
        <v>71931.69</v>
      </c>
    </row>
    <row r="473" spans="1:15">
      <c r="A473" s="27" t="s">
        <v>528</v>
      </c>
      <c r="B473" s="27">
        <v>68</v>
      </c>
      <c r="C473" s="27" t="s">
        <v>542</v>
      </c>
      <c r="D473" s="27" t="s">
        <v>552</v>
      </c>
      <c r="E473" s="27">
        <v>2023</v>
      </c>
      <c r="F473" s="28">
        <v>6.9</v>
      </c>
      <c r="G473" s="27">
        <v>4.9000000000000004</v>
      </c>
      <c r="H473" s="28">
        <v>4</v>
      </c>
      <c r="I473" s="28">
        <v>0.7</v>
      </c>
      <c r="J473" s="28">
        <v>2</v>
      </c>
      <c r="K473" s="27" t="s">
        <v>578</v>
      </c>
      <c r="L473" s="27">
        <v>6</v>
      </c>
      <c r="M473" s="27">
        <v>4.0999999999999996</v>
      </c>
      <c r="N473" s="1" t="s">
        <v>592</v>
      </c>
      <c r="O473" s="27">
        <v>47740.04</v>
      </c>
    </row>
    <row r="474" spans="1:15">
      <c r="A474" s="27" t="s">
        <v>231</v>
      </c>
      <c r="B474" s="27">
        <v>66</v>
      </c>
      <c r="C474" s="27" t="s">
        <v>541</v>
      </c>
      <c r="D474" s="27" t="s">
        <v>556</v>
      </c>
      <c r="E474" s="27">
        <v>2022</v>
      </c>
      <c r="F474" s="28">
        <v>0.9</v>
      </c>
      <c r="G474" s="27">
        <v>0.9</v>
      </c>
      <c r="H474" s="28">
        <v>7.1</v>
      </c>
      <c r="I474" s="28">
        <v>4.3</v>
      </c>
      <c r="J474" s="28">
        <v>5.5</v>
      </c>
      <c r="K474" s="27" t="s">
        <v>574</v>
      </c>
      <c r="L474" s="27">
        <v>6</v>
      </c>
      <c r="M474" s="27">
        <v>4.1100000000000003</v>
      </c>
      <c r="N474" s="1" t="s">
        <v>592</v>
      </c>
      <c r="O474" s="27">
        <v>33999.69</v>
      </c>
    </row>
    <row r="475" spans="1:15">
      <c r="A475" s="27" t="s">
        <v>145</v>
      </c>
      <c r="B475" s="27">
        <v>33</v>
      </c>
      <c r="C475" s="27" t="s">
        <v>542</v>
      </c>
      <c r="D475" s="27" t="s">
        <v>550</v>
      </c>
      <c r="E475" s="27">
        <v>2023</v>
      </c>
      <c r="F475" s="28">
        <v>3.2</v>
      </c>
      <c r="G475" s="27">
        <v>4.5</v>
      </c>
      <c r="H475" s="28">
        <v>9.8000000000000007</v>
      </c>
      <c r="I475" s="28">
        <v>8.1999999999999993</v>
      </c>
      <c r="J475" s="28">
        <v>3.5</v>
      </c>
      <c r="K475" s="27" t="s">
        <v>571</v>
      </c>
      <c r="L475" s="27">
        <v>5</v>
      </c>
      <c r="M475" s="27">
        <v>5.31</v>
      </c>
      <c r="N475" s="1" t="s">
        <v>592</v>
      </c>
      <c r="O475" s="27">
        <v>73055.460000000006</v>
      </c>
    </row>
    <row r="476" spans="1:15">
      <c r="A476" s="27" t="s">
        <v>83</v>
      </c>
      <c r="B476" s="27">
        <v>81</v>
      </c>
      <c r="C476" s="27" t="s">
        <v>543</v>
      </c>
      <c r="D476" s="27" t="s">
        <v>553</v>
      </c>
      <c r="E476" s="27">
        <v>2024</v>
      </c>
      <c r="F476" s="28">
        <v>6.1</v>
      </c>
      <c r="G476" s="27">
        <v>5.7</v>
      </c>
      <c r="H476" s="28">
        <v>3.2</v>
      </c>
      <c r="I476" s="28">
        <v>4.4117647058823533</v>
      </c>
      <c r="J476" s="28">
        <v>4.4000000000000004</v>
      </c>
      <c r="K476" s="27" t="s">
        <v>574</v>
      </c>
      <c r="L476" s="27">
        <v>5</v>
      </c>
      <c r="M476" s="27">
        <v>4.04</v>
      </c>
      <c r="N476" s="1" t="s">
        <v>592</v>
      </c>
      <c r="O476" s="27">
        <v>77573.67</v>
      </c>
    </row>
    <row r="477" spans="1:15">
      <c r="A477" s="27" t="s">
        <v>57</v>
      </c>
      <c r="B477" s="27">
        <v>57</v>
      </c>
      <c r="C477" s="27" t="s">
        <v>543</v>
      </c>
      <c r="D477" s="27" t="s">
        <v>672</v>
      </c>
      <c r="E477" s="27">
        <v>2023</v>
      </c>
      <c r="F477" s="28">
        <v>7.1</v>
      </c>
      <c r="G477" s="27">
        <v>9.3000000000000007</v>
      </c>
      <c r="H477" s="28">
        <v>1.2</v>
      </c>
      <c r="I477" s="28">
        <v>5.3</v>
      </c>
      <c r="J477" s="28">
        <v>8.5</v>
      </c>
      <c r="K477" s="27" t="s">
        <v>578</v>
      </c>
      <c r="L477" s="27">
        <v>3</v>
      </c>
      <c r="M477" s="27">
        <v>6.67</v>
      </c>
      <c r="N477" s="1" t="s">
        <v>590</v>
      </c>
      <c r="O477" s="27">
        <v>11839.59</v>
      </c>
    </row>
    <row r="478" spans="1:15">
      <c r="A478" s="27" t="s">
        <v>146</v>
      </c>
      <c r="B478" s="27">
        <v>78</v>
      </c>
      <c r="C478" s="27" t="s">
        <v>541</v>
      </c>
      <c r="D478" s="27" t="s">
        <v>556</v>
      </c>
      <c r="E478" s="27">
        <v>2023</v>
      </c>
      <c r="F478" s="28">
        <v>7.6</v>
      </c>
      <c r="G478" s="27">
        <v>8.5</v>
      </c>
      <c r="H478" s="28">
        <v>1.9</v>
      </c>
      <c r="I478" s="28">
        <v>9.6</v>
      </c>
      <c r="J478" s="28">
        <v>3</v>
      </c>
      <c r="K478" s="27" t="s">
        <v>578</v>
      </c>
      <c r="L478" s="27">
        <v>3</v>
      </c>
      <c r="M478" s="27">
        <v>6.12</v>
      </c>
      <c r="N478" s="1" t="s">
        <v>590</v>
      </c>
      <c r="O478" s="27">
        <v>58819.89</v>
      </c>
    </row>
    <row r="479" spans="1:15">
      <c r="A479" s="27" t="s">
        <v>107</v>
      </c>
      <c r="B479" s="27">
        <v>64</v>
      </c>
      <c r="C479" s="27" t="s">
        <v>546</v>
      </c>
      <c r="D479" s="27" t="s">
        <v>672</v>
      </c>
      <c r="E479" s="27">
        <v>2023</v>
      </c>
      <c r="F479" s="28">
        <v>8</v>
      </c>
      <c r="G479" s="27">
        <v>9.4</v>
      </c>
      <c r="H479" s="28">
        <v>3.1</v>
      </c>
      <c r="I479" s="28">
        <v>2.6</v>
      </c>
      <c r="J479" s="28">
        <v>8.6999999999999993</v>
      </c>
      <c r="K479" s="27" t="s">
        <v>574</v>
      </c>
      <c r="L479" s="27">
        <v>1</v>
      </c>
      <c r="M479" s="27">
        <v>33.17</v>
      </c>
      <c r="N479" s="1" t="s">
        <v>591</v>
      </c>
      <c r="O479" s="27">
        <v>53556.06</v>
      </c>
    </row>
    <row r="480" spans="1:15">
      <c r="A480" s="27" t="s">
        <v>378</v>
      </c>
      <c r="B480" s="27">
        <v>35</v>
      </c>
      <c r="C480" s="27" t="s">
        <v>541</v>
      </c>
      <c r="D480" s="27" t="s">
        <v>550</v>
      </c>
      <c r="E480" s="27">
        <v>2023</v>
      </c>
      <c r="F480" s="28">
        <v>2.9</v>
      </c>
      <c r="G480" s="27">
        <v>3.5</v>
      </c>
      <c r="H480" s="28">
        <v>8</v>
      </c>
      <c r="I480" s="28">
        <v>2.8</v>
      </c>
      <c r="J480" s="28">
        <v>9</v>
      </c>
      <c r="K480" s="27" t="s">
        <v>574</v>
      </c>
      <c r="L480" s="27">
        <v>6</v>
      </c>
      <c r="M480" s="27">
        <v>4.4400000000000004</v>
      </c>
      <c r="N480" s="1" t="s">
        <v>592</v>
      </c>
      <c r="O480" s="27">
        <v>66395.91</v>
      </c>
    </row>
    <row r="481" spans="1:15">
      <c r="A481" s="27" t="s">
        <v>280</v>
      </c>
      <c r="B481" s="27">
        <v>42</v>
      </c>
      <c r="C481" s="27" t="s">
        <v>542</v>
      </c>
      <c r="D481" s="27" t="s">
        <v>672</v>
      </c>
      <c r="E481" s="27">
        <v>2022</v>
      </c>
      <c r="F481" s="28">
        <v>7.9</v>
      </c>
      <c r="G481" s="27">
        <v>5.5</v>
      </c>
      <c r="H481" s="28">
        <v>8.4</v>
      </c>
      <c r="I481" s="28">
        <v>7</v>
      </c>
      <c r="J481" s="28">
        <v>0.6</v>
      </c>
      <c r="K481" s="27" t="s">
        <v>576</v>
      </c>
      <c r="L481" s="27">
        <v>4</v>
      </c>
      <c r="M481" s="27">
        <v>7.51</v>
      </c>
      <c r="N481" s="1" t="s">
        <v>590</v>
      </c>
      <c r="O481" s="27">
        <v>12334.48</v>
      </c>
    </row>
    <row r="482" spans="1:15">
      <c r="A482" s="27" t="s">
        <v>85</v>
      </c>
      <c r="B482" s="27">
        <v>40</v>
      </c>
      <c r="C482" s="27" t="s">
        <v>541</v>
      </c>
      <c r="D482" s="27" t="s">
        <v>645</v>
      </c>
      <c r="E482" s="27">
        <v>2024</v>
      </c>
      <c r="F482" s="28">
        <v>8.6999999999999993</v>
      </c>
      <c r="G482" s="27">
        <v>4.3</v>
      </c>
      <c r="H482" s="28">
        <v>5.9</v>
      </c>
      <c r="I482" s="28">
        <v>8.6</v>
      </c>
      <c r="J482" s="28">
        <v>0.4</v>
      </c>
      <c r="K482" s="27" t="s">
        <v>571</v>
      </c>
      <c r="L482" s="27">
        <v>4</v>
      </c>
      <c r="M482" s="27">
        <v>6.55</v>
      </c>
      <c r="N482" s="1" t="s">
        <v>590</v>
      </c>
      <c r="O482" s="27">
        <v>23854.37</v>
      </c>
    </row>
    <row r="483" spans="1:15">
      <c r="A483" s="27" t="s">
        <v>527</v>
      </c>
      <c r="B483" s="27">
        <v>69</v>
      </c>
      <c r="C483" s="27" t="s">
        <v>543</v>
      </c>
      <c r="D483" s="27" t="s">
        <v>556</v>
      </c>
      <c r="E483" s="27">
        <v>2023</v>
      </c>
      <c r="F483" s="28">
        <v>1.3</v>
      </c>
      <c r="G483" s="27">
        <v>3.7</v>
      </c>
      <c r="H483" s="28">
        <v>7.1</v>
      </c>
      <c r="I483" s="28">
        <v>9.5</v>
      </c>
      <c r="J483" s="28">
        <v>4.9000000000000004</v>
      </c>
      <c r="K483" s="27" t="s">
        <v>570</v>
      </c>
      <c r="L483" s="27">
        <v>5</v>
      </c>
      <c r="M483" s="27">
        <v>5.1100000000000003</v>
      </c>
      <c r="N483" s="1" t="s">
        <v>592</v>
      </c>
      <c r="O483" s="27">
        <v>58146.01</v>
      </c>
    </row>
    <row r="484" spans="1:15">
      <c r="A484" s="27" t="s">
        <v>444</v>
      </c>
      <c r="B484" s="27">
        <v>51</v>
      </c>
      <c r="C484" s="27" t="s">
        <v>542</v>
      </c>
      <c r="D484" s="27" t="s">
        <v>552</v>
      </c>
      <c r="E484" s="27">
        <v>2024</v>
      </c>
      <c r="F484" s="28">
        <v>5</v>
      </c>
      <c r="G484" s="27">
        <v>4</v>
      </c>
      <c r="H484" s="28">
        <v>0.6</v>
      </c>
      <c r="I484" s="28">
        <v>5.6</v>
      </c>
      <c r="J484" s="28">
        <v>9.9</v>
      </c>
      <c r="K484" s="27" t="s">
        <v>576</v>
      </c>
      <c r="L484" s="27">
        <v>8</v>
      </c>
      <c r="M484" s="27">
        <v>3.85</v>
      </c>
      <c r="N484" s="1" t="s">
        <v>594</v>
      </c>
      <c r="O484" s="27">
        <v>97313.35</v>
      </c>
    </row>
    <row r="485" spans="1:15">
      <c r="A485" s="27" t="s">
        <v>249</v>
      </c>
      <c r="B485" s="27">
        <v>82</v>
      </c>
      <c r="C485" s="27" t="s">
        <v>541</v>
      </c>
      <c r="D485" s="27" t="s">
        <v>551</v>
      </c>
      <c r="E485" s="27">
        <v>2024</v>
      </c>
      <c r="F485" s="28">
        <v>1.3</v>
      </c>
      <c r="G485" s="27">
        <v>4.9000000000000004</v>
      </c>
      <c r="H485" s="28">
        <v>0.3</v>
      </c>
      <c r="I485" s="28">
        <v>1.4</v>
      </c>
      <c r="J485" s="28">
        <v>3.8</v>
      </c>
      <c r="K485" s="27" t="s">
        <v>579</v>
      </c>
      <c r="L485" s="27">
        <v>8</v>
      </c>
      <c r="M485" s="27">
        <v>2.78</v>
      </c>
      <c r="N485" s="1" t="s">
        <v>594</v>
      </c>
      <c r="O485" s="27">
        <v>46050.01</v>
      </c>
    </row>
    <row r="486" spans="1:15">
      <c r="A486" s="27" t="s">
        <v>227</v>
      </c>
      <c r="B486" s="27">
        <v>58</v>
      </c>
      <c r="C486" s="27" t="s">
        <v>542</v>
      </c>
      <c r="D486" s="27" t="s">
        <v>672</v>
      </c>
      <c r="E486" s="27">
        <v>2022</v>
      </c>
      <c r="F486" s="28">
        <v>3.2</v>
      </c>
      <c r="G486" s="27">
        <v>7.3</v>
      </c>
      <c r="H486" s="28">
        <v>2.9</v>
      </c>
      <c r="I486" s="28">
        <v>6</v>
      </c>
      <c r="J486" s="28">
        <v>0.1</v>
      </c>
      <c r="K486" s="27" t="s">
        <v>576</v>
      </c>
      <c r="L486" s="27">
        <v>8</v>
      </c>
      <c r="M486" s="27">
        <v>3.45</v>
      </c>
      <c r="N486" s="1" t="s">
        <v>594</v>
      </c>
      <c r="O486" s="27">
        <v>96272.639999999999</v>
      </c>
    </row>
    <row r="487" spans="1:15">
      <c r="A487" s="27" t="s">
        <v>337</v>
      </c>
      <c r="B487" s="27">
        <v>30</v>
      </c>
      <c r="C487" s="27" t="s">
        <v>543</v>
      </c>
      <c r="D487" s="27" t="s">
        <v>551</v>
      </c>
      <c r="E487" s="27">
        <v>2024</v>
      </c>
      <c r="F487" s="28">
        <v>7.5</v>
      </c>
      <c r="G487" s="27">
        <v>9.8000000000000007</v>
      </c>
      <c r="H487" s="28">
        <v>3.2357142857142853</v>
      </c>
      <c r="I487" s="28">
        <v>5.3</v>
      </c>
      <c r="J487" s="28">
        <v>7.6</v>
      </c>
      <c r="K487" s="27" t="s">
        <v>572</v>
      </c>
      <c r="L487" s="27">
        <v>3</v>
      </c>
      <c r="M487" s="27">
        <v>7.53</v>
      </c>
      <c r="N487" s="1" t="s">
        <v>590</v>
      </c>
      <c r="O487" s="27">
        <v>18447.2</v>
      </c>
    </row>
    <row r="488" spans="1:15">
      <c r="A488" s="27" t="s">
        <v>138</v>
      </c>
      <c r="B488" s="27">
        <v>30</v>
      </c>
      <c r="C488" s="27" t="s">
        <v>541</v>
      </c>
      <c r="D488" s="27" t="s">
        <v>549</v>
      </c>
      <c r="E488" s="27">
        <v>2022</v>
      </c>
      <c r="F488" s="28">
        <v>7.3</v>
      </c>
      <c r="G488" s="27">
        <v>6.8</v>
      </c>
      <c r="H488" s="28">
        <v>8.9</v>
      </c>
      <c r="I488" s="28">
        <v>4.7</v>
      </c>
      <c r="J488" s="28">
        <v>6.7</v>
      </c>
      <c r="K488" s="27" t="s">
        <v>578</v>
      </c>
      <c r="L488" s="27">
        <v>3</v>
      </c>
      <c r="M488" s="27">
        <v>6.63</v>
      </c>
      <c r="N488" s="1" t="s">
        <v>590</v>
      </c>
      <c r="O488" s="27">
        <v>39805.56</v>
      </c>
    </row>
    <row r="489" spans="1:15">
      <c r="A489" s="27" t="s">
        <v>427</v>
      </c>
      <c r="B489" s="27">
        <v>71</v>
      </c>
      <c r="C489" s="27" t="s">
        <v>542</v>
      </c>
      <c r="D489" s="27" t="s">
        <v>645</v>
      </c>
      <c r="E489" s="27">
        <v>2024</v>
      </c>
      <c r="F489" s="28">
        <v>5.2</v>
      </c>
      <c r="G489" s="27">
        <v>4.9000000000000004</v>
      </c>
      <c r="H489" s="28">
        <v>1.6</v>
      </c>
      <c r="I489" s="28">
        <v>6.3</v>
      </c>
      <c r="J489" s="28">
        <v>3.2</v>
      </c>
      <c r="K489" s="27" t="s">
        <v>574</v>
      </c>
      <c r="L489" s="27">
        <v>6</v>
      </c>
      <c r="M489" s="27">
        <v>4.32</v>
      </c>
      <c r="N489" s="1" t="s">
        <v>592</v>
      </c>
      <c r="O489" s="27">
        <v>63540.44</v>
      </c>
    </row>
    <row r="490" spans="1:15">
      <c r="A490" s="27" t="s">
        <v>251</v>
      </c>
      <c r="B490" s="27">
        <v>23</v>
      </c>
      <c r="C490" s="27" t="s">
        <v>541</v>
      </c>
      <c r="D490" s="27" t="s">
        <v>672</v>
      </c>
      <c r="E490" s="27">
        <v>2022</v>
      </c>
      <c r="F490" s="28">
        <v>4.9260416666666655</v>
      </c>
      <c r="G490" s="27">
        <v>5.4</v>
      </c>
      <c r="H490" s="28">
        <v>1.8</v>
      </c>
      <c r="I490" s="28">
        <v>5.7</v>
      </c>
      <c r="J490" s="28">
        <v>0.2</v>
      </c>
      <c r="K490" s="27" t="s">
        <v>546</v>
      </c>
      <c r="L490" s="27">
        <v>6</v>
      </c>
      <c r="M490" s="27">
        <v>5.63</v>
      </c>
      <c r="N490" s="1" t="s">
        <v>592</v>
      </c>
      <c r="O490" s="27">
        <v>20479.61</v>
      </c>
    </row>
    <row r="491" spans="1:15">
      <c r="A491" s="27" t="s">
        <v>495</v>
      </c>
      <c r="B491" s="27">
        <v>76</v>
      </c>
      <c r="C491" s="27" t="s">
        <v>541</v>
      </c>
      <c r="D491" s="27" t="s">
        <v>554</v>
      </c>
      <c r="E491" s="27">
        <v>2022</v>
      </c>
      <c r="F491" s="28">
        <v>4.2142857142857144</v>
      </c>
      <c r="G491" s="27">
        <v>1</v>
      </c>
      <c r="H491" s="28">
        <v>0.1</v>
      </c>
      <c r="I491" s="28">
        <v>4.25</v>
      </c>
      <c r="J491" s="28">
        <v>4</v>
      </c>
      <c r="K491" s="27" t="s">
        <v>574</v>
      </c>
      <c r="L491" s="27">
        <v>7</v>
      </c>
      <c r="M491" s="27">
        <v>3.33</v>
      </c>
      <c r="N491" s="1" t="s">
        <v>594</v>
      </c>
      <c r="O491" s="27">
        <v>75729.5</v>
      </c>
    </row>
    <row r="492" spans="1:15">
      <c r="A492" s="27" t="s">
        <v>119</v>
      </c>
      <c r="B492" s="27">
        <v>28</v>
      </c>
      <c r="C492" s="27" t="s">
        <v>541</v>
      </c>
      <c r="D492" s="27" t="s">
        <v>549</v>
      </c>
      <c r="E492" s="27">
        <v>2023</v>
      </c>
      <c r="F492" s="28">
        <v>1.4</v>
      </c>
      <c r="G492" s="27">
        <v>1.4</v>
      </c>
      <c r="H492" s="28">
        <v>7.9</v>
      </c>
      <c r="I492" s="28">
        <v>7.5</v>
      </c>
      <c r="J492" s="28">
        <v>2.4</v>
      </c>
      <c r="K492" s="27" t="s">
        <v>578</v>
      </c>
      <c r="L492" s="27">
        <v>5</v>
      </c>
      <c r="M492" s="27">
        <v>4.3600000000000003</v>
      </c>
      <c r="N492" s="1" t="s">
        <v>592</v>
      </c>
      <c r="O492" s="27">
        <v>54478.1</v>
      </c>
    </row>
    <row r="493" spans="1:15">
      <c r="A493" s="27" t="s">
        <v>298</v>
      </c>
      <c r="B493" s="27">
        <v>54</v>
      </c>
      <c r="C493" s="27" t="s">
        <v>541</v>
      </c>
      <c r="D493" s="27" t="s">
        <v>552</v>
      </c>
      <c r="E493" s="27">
        <v>2024</v>
      </c>
      <c r="F493" s="28">
        <v>7</v>
      </c>
      <c r="G493" s="27">
        <v>5.3</v>
      </c>
      <c r="H493" s="28">
        <v>1.3</v>
      </c>
      <c r="I493" s="28">
        <v>2.8</v>
      </c>
      <c r="J493" s="28">
        <v>8.6</v>
      </c>
      <c r="K493" s="27" t="s">
        <v>578</v>
      </c>
      <c r="L493" s="27">
        <v>5</v>
      </c>
      <c r="M493" s="27">
        <v>4.54</v>
      </c>
      <c r="N493" s="1" t="s">
        <v>592</v>
      </c>
      <c r="O493" s="27">
        <v>63328.56</v>
      </c>
    </row>
    <row r="494" spans="1:15">
      <c r="A494" s="27" t="s">
        <v>87</v>
      </c>
      <c r="B494" s="27">
        <v>82</v>
      </c>
      <c r="C494" s="27" t="s">
        <v>541</v>
      </c>
      <c r="D494" s="27" t="s">
        <v>672</v>
      </c>
      <c r="E494" s="27">
        <v>2024</v>
      </c>
      <c r="F494" s="28">
        <v>6.7</v>
      </c>
      <c r="G494" s="27">
        <v>3.1</v>
      </c>
      <c r="H494" s="28">
        <v>1.5</v>
      </c>
      <c r="I494" s="28">
        <v>4.3</v>
      </c>
      <c r="J494" s="28">
        <v>1.3</v>
      </c>
      <c r="K494" s="27" t="s">
        <v>573</v>
      </c>
      <c r="L494" s="27">
        <v>7</v>
      </c>
      <c r="M494" s="27">
        <v>3.16</v>
      </c>
      <c r="N494" s="1" t="s">
        <v>594</v>
      </c>
      <c r="O494" s="27">
        <v>92859.37</v>
      </c>
    </row>
    <row r="495" spans="1:15">
      <c r="A495" s="27" t="s">
        <v>49</v>
      </c>
      <c r="B495" s="27">
        <v>80</v>
      </c>
      <c r="C495" s="27" t="s">
        <v>542</v>
      </c>
      <c r="D495" s="27" t="s">
        <v>555</v>
      </c>
      <c r="E495" s="27">
        <v>2022</v>
      </c>
      <c r="F495" s="28">
        <v>8.9</v>
      </c>
      <c r="G495" s="27">
        <v>5.0999999999999996</v>
      </c>
      <c r="H495" s="28">
        <v>8.1999999999999993</v>
      </c>
      <c r="I495" s="28">
        <v>8.6</v>
      </c>
      <c r="J495" s="28">
        <v>5.8</v>
      </c>
      <c r="K495" s="27" t="s">
        <v>579</v>
      </c>
      <c r="L495" s="27">
        <v>1</v>
      </c>
      <c r="M495" s="27">
        <v>37.15</v>
      </c>
      <c r="N495" s="1" t="s">
        <v>591</v>
      </c>
      <c r="O495" s="27">
        <v>39147.26</v>
      </c>
    </row>
    <row r="496" spans="1:15">
      <c r="A496" s="27" t="s">
        <v>447</v>
      </c>
      <c r="B496" s="27">
        <v>35</v>
      </c>
      <c r="C496" s="27" t="s">
        <v>542</v>
      </c>
      <c r="D496" s="27" t="s">
        <v>554</v>
      </c>
      <c r="E496" s="27">
        <v>2024</v>
      </c>
      <c r="F496" s="28">
        <v>4.7</v>
      </c>
      <c r="G496" s="27">
        <v>4.0999999999999996</v>
      </c>
      <c r="H496" s="28">
        <v>5</v>
      </c>
      <c r="I496" s="28">
        <v>8.5</v>
      </c>
      <c r="J496" s="28">
        <v>0.2</v>
      </c>
      <c r="K496" s="27" t="s">
        <v>574</v>
      </c>
      <c r="L496" s="27">
        <v>5</v>
      </c>
      <c r="M496" s="27">
        <v>5.21</v>
      </c>
      <c r="N496" s="1" t="s">
        <v>592</v>
      </c>
      <c r="O496" s="27">
        <v>40670.949999999997</v>
      </c>
    </row>
    <row r="497" spans="1:15">
      <c r="A497" s="27" t="s">
        <v>313</v>
      </c>
      <c r="B497" s="27">
        <v>22</v>
      </c>
      <c r="C497" s="27" t="s">
        <v>542</v>
      </c>
      <c r="D497" s="27" t="s">
        <v>553</v>
      </c>
      <c r="E497" s="27">
        <v>2023</v>
      </c>
      <c r="F497" s="28">
        <v>5.3</v>
      </c>
      <c r="G497" s="27">
        <v>4</v>
      </c>
      <c r="H497" s="28">
        <v>2.9</v>
      </c>
      <c r="I497" s="28">
        <v>6.9</v>
      </c>
      <c r="J497" s="28">
        <v>5.3</v>
      </c>
      <c r="K497" s="27" t="s">
        <v>570</v>
      </c>
      <c r="L497" s="27">
        <v>6</v>
      </c>
      <c r="M497" s="27">
        <v>4.91</v>
      </c>
      <c r="N497" s="1" t="s">
        <v>592</v>
      </c>
      <c r="O497" s="27">
        <v>67452.72</v>
      </c>
    </row>
    <row r="498" spans="1:15">
      <c r="A498" s="27" t="s">
        <v>179</v>
      </c>
      <c r="B498" s="27">
        <v>38</v>
      </c>
      <c r="C498" s="27" t="s">
        <v>542</v>
      </c>
      <c r="D498" s="27" t="s">
        <v>549</v>
      </c>
      <c r="E498" s="27">
        <v>2023</v>
      </c>
      <c r="F498" s="28">
        <v>1</v>
      </c>
      <c r="G498" s="27">
        <v>6.9</v>
      </c>
      <c r="H498" s="28">
        <v>6.4</v>
      </c>
      <c r="I498" s="28">
        <v>7.8</v>
      </c>
      <c r="J498" s="28">
        <v>0.1</v>
      </c>
      <c r="K498" s="27" t="s">
        <v>572</v>
      </c>
      <c r="L498" s="27">
        <v>5</v>
      </c>
      <c r="M498" s="27">
        <v>5.42</v>
      </c>
      <c r="N498" s="1" t="s">
        <v>592</v>
      </c>
      <c r="O498" s="27">
        <v>17298.53</v>
      </c>
    </row>
    <row r="499" spans="1:15">
      <c r="A499" s="27" t="s">
        <v>68</v>
      </c>
      <c r="B499" s="27">
        <v>69</v>
      </c>
      <c r="C499" s="27" t="s">
        <v>543</v>
      </c>
      <c r="D499" s="27" t="s">
        <v>554</v>
      </c>
      <c r="E499" s="27">
        <v>2024</v>
      </c>
      <c r="F499" s="28">
        <v>8</v>
      </c>
      <c r="G499" s="27">
        <v>7.2</v>
      </c>
      <c r="H499" s="28">
        <v>0.2</v>
      </c>
      <c r="I499" s="28">
        <v>6.8</v>
      </c>
      <c r="J499" s="28">
        <v>5.5555555555555562</v>
      </c>
      <c r="K499" s="27" t="s">
        <v>573</v>
      </c>
      <c r="L499" s="27">
        <v>6</v>
      </c>
      <c r="M499" s="27">
        <v>5.28</v>
      </c>
      <c r="N499" s="1" t="s">
        <v>592</v>
      </c>
      <c r="O499" s="27">
        <v>59263.85</v>
      </c>
    </row>
    <row r="500" spans="1:15">
      <c r="A500" s="27" t="s">
        <v>128</v>
      </c>
      <c r="B500" s="27">
        <v>56</v>
      </c>
      <c r="C500" s="27" t="s">
        <v>542</v>
      </c>
      <c r="D500" s="27" t="s">
        <v>554</v>
      </c>
      <c r="E500" s="27">
        <v>2023</v>
      </c>
      <c r="F500" s="28">
        <v>0.8</v>
      </c>
      <c r="G500" s="27">
        <v>6.2</v>
      </c>
      <c r="H500" s="28">
        <v>3.9</v>
      </c>
      <c r="I500" s="28">
        <v>0</v>
      </c>
      <c r="J500" s="28">
        <v>4.536363636363637</v>
      </c>
      <c r="K500" s="27" t="s">
        <v>572</v>
      </c>
      <c r="L500" s="27">
        <v>8</v>
      </c>
      <c r="M500" s="27">
        <v>2.79</v>
      </c>
      <c r="N500" s="1" t="s">
        <v>594</v>
      </c>
      <c r="O500" s="27">
        <v>79657.69</v>
      </c>
    </row>
    <row r="501" spans="1:15">
      <c r="A501" s="27" t="s">
        <v>41</v>
      </c>
      <c r="B501" s="27">
        <v>29</v>
      </c>
      <c r="C501" s="27" t="s">
        <v>543</v>
      </c>
      <c r="D501" s="27" t="s">
        <v>554</v>
      </c>
      <c r="E501" s="27">
        <v>2022</v>
      </c>
      <c r="F501" s="28">
        <v>2</v>
      </c>
      <c r="G501" s="27">
        <v>0.7</v>
      </c>
      <c r="H501" s="28">
        <v>0.5</v>
      </c>
      <c r="I501" s="28">
        <v>0.5</v>
      </c>
      <c r="J501" s="28">
        <v>9.8000000000000007</v>
      </c>
      <c r="K501" s="27" t="s">
        <v>574</v>
      </c>
      <c r="L501" s="27">
        <v>8</v>
      </c>
      <c r="M501" s="27">
        <v>3.06</v>
      </c>
      <c r="N501" s="1" t="s">
        <v>594</v>
      </c>
      <c r="O501" s="27">
        <v>29872.06</v>
      </c>
    </row>
    <row r="502" spans="1:15">
      <c r="A502" s="27" t="s">
        <v>223</v>
      </c>
      <c r="B502" s="27">
        <v>37</v>
      </c>
      <c r="C502" s="27" t="s">
        <v>542</v>
      </c>
      <c r="D502" s="27" t="s">
        <v>556</v>
      </c>
      <c r="E502" s="27">
        <v>2022</v>
      </c>
      <c r="F502" s="28">
        <v>2.6</v>
      </c>
      <c r="G502" s="27">
        <v>5.0999999999999996</v>
      </c>
      <c r="H502" s="28">
        <v>9.5</v>
      </c>
      <c r="I502" s="28">
        <v>3.5</v>
      </c>
      <c r="J502" s="28">
        <v>9.6</v>
      </c>
      <c r="K502" s="27" t="s">
        <v>576</v>
      </c>
      <c r="L502" s="27">
        <v>6</v>
      </c>
      <c r="M502" s="27">
        <v>4.6399999999999997</v>
      </c>
      <c r="N502" s="1" t="s">
        <v>592</v>
      </c>
      <c r="O502" s="27">
        <v>86717.52</v>
      </c>
    </row>
    <row r="503" spans="1:15">
      <c r="A503" s="27" t="s">
        <v>252</v>
      </c>
      <c r="B503" s="27">
        <v>49</v>
      </c>
      <c r="C503" s="27" t="s">
        <v>543</v>
      </c>
      <c r="D503" s="27" t="s">
        <v>553</v>
      </c>
      <c r="E503" s="27">
        <v>2022</v>
      </c>
      <c r="F503" s="28">
        <v>4</v>
      </c>
      <c r="G503" s="27">
        <v>4.2</v>
      </c>
      <c r="H503" s="28">
        <v>0.1</v>
      </c>
      <c r="I503" s="28">
        <v>4.8</v>
      </c>
      <c r="J503" s="28">
        <v>0.4</v>
      </c>
      <c r="K503" s="27" t="s">
        <v>572</v>
      </c>
      <c r="L503" s="27">
        <v>7</v>
      </c>
      <c r="M503" s="27">
        <v>2.62</v>
      </c>
      <c r="N503" s="1" t="s">
        <v>594</v>
      </c>
      <c r="O503" s="27">
        <v>91331.28</v>
      </c>
    </row>
    <row r="504" spans="1:15">
      <c r="A504" s="27" t="s">
        <v>17</v>
      </c>
      <c r="B504" s="27">
        <v>47</v>
      </c>
      <c r="C504" s="27" t="s">
        <v>542</v>
      </c>
      <c r="D504" s="27" t="s">
        <v>552</v>
      </c>
      <c r="E504" s="27">
        <v>2022</v>
      </c>
      <c r="F504" s="28">
        <v>4.9000000000000004</v>
      </c>
      <c r="G504" s="27">
        <v>1.8</v>
      </c>
      <c r="H504" s="28">
        <v>4.0999999999999996</v>
      </c>
      <c r="I504" s="28">
        <v>2.2999999999999998</v>
      </c>
      <c r="J504" s="28">
        <v>4.5999999999999996</v>
      </c>
      <c r="K504" s="27" t="s">
        <v>571</v>
      </c>
      <c r="L504" s="27">
        <v>6</v>
      </c>
      <c r="M504" s="27">
        <v>4.3099999999999996</v>
      </c>
      <c r="N504" s="1" t="s">
        <v>592</v>
      </c>
      <c r="O504" s="27">
        <v>23641.55</v>
      </c>
    </row>
    <row r="505" spans="1:15">
      <c r="A505" s="27" t="s">
        <v>372</v>
      </c>
      <c r="B505" s="27">
        <v>77</v>
      </c>
      <c r="C505" s="27" t="s">
        <v>543</v>
      </c>
      <c r="D505" s="27" t="s">
        <v>554</v>
      </c>
      <c r="E505" s="27">
        <v>2023</v>
      </c>
      <c r="F505" s="28">
        <v>0.2</v>
      </c>
      <c r="G505" s="27">
        <v>3.5</v>
      </c>
      <c r="H505" s="28">
        <v>8.9</v>
      </c>
      <c r="I505" s="28">
        <v>4.93</v>
      </c>
      <c r="J505" s="28">
        <v>4.8</v>
      </c>
      <c r="K505" s="27" t="s">
        <v>574</v>
      </c>
      <c r="L505" s="27">
        <v>7</v>
      </c>
      <c r="M505" s="27">
        <v>3.77</v>
      </c>
      <c r="N505" s="1" t="s">
        <v>594</v>
      </c>
      <c r="O505" s="27">
        <v>58384.38</v>
      </c>
    </row>
    <row r="506" spans="1:15">
      <c r="A506" s="27" t="s">
        <v>35</v>
      </c>
      <c r="B506" s="27">
        <v>69</v>
      </c>
      <c r="C506" s="27" t="s">
        <v>541</v>
      </c>
      <c r="D506" s="27" t="s">
        <v>555</v>
      </c>
      <c r="E506" s="27">
        <v>2023</v>
      </c>
      <c r="F506" s="28">
        <v>5.4</v>
      </c>
      <c r="G506" s="27">
        <v>6.6</v>
      </c>
      <c r="H506" s="28">
        <v>4.5999999999999996</v>
      </c>
      <c r="I506" s="28">
        <v>6.8</v>
      </c>
      <c r="J506" s="28">
        <v>4.51</v>
      </c>
      <c r="K506" s="27" t="s">
        <v>576</v>
      </c>
      <c r="L506" s="27">
        <v>6</v>
      </c>
      <c r="M506" s="27">
        <v>5.44</v>
      </c>
      <c r="N506" s="1" t="s">
        <v>592</v>
      </c>
      <c r="O506" s="27">
        <v>59507.92</v>
      </c>
    </row>
    <row r="507" spans="1:15">
      <c r="A507" s="27" t="s">
        <v>43</v>
      </c>
      <c r="B507" s="27">
        <v>36</v>
      </c>
      <c r="C507" s="27" t="s">
        <v>542</v>
      </c>
      <c r="D507" s="27" t="s">
        <v>556</v>
      </c>
      <c r="E507" s="27">
        <v>2024</v>
      </c>
      <c r="F507" s="28">
        <v>9.8000000000000007</v>
      </c>
      <c r="G507" s="27">
        <v>7.2</v>
      </c>
      <c r="H507" s="28">
        <v>1.2</v>
      </c>
      <c r="I507" s="28">
        <v>3.5</v>
      </c>
      <c r="J507" s="28">
        <v>6.1</v>
      </c>
      <c r="K507" s="27" t="s">
        <v>571</v>
      </c>
      <c r="L507" s="27">
        <v>5</v>
      </c>
      <c r="M507" s="27">
        <v>4.7699999999999996</v>
      </c>
      <c r="N507" s="1" t="s">
        <v>592</v>
      </c>
      <c r="O507" s="27">
        <v>87797.95</v>
      </c>
    </row>
    <row r="508" spans="1:15">
      <c r="A508" s="27" t="s">
        <v>56</v>
      </c>
      <c r="B508" s="27">
        <v>77</v>
      </c>
      <c r="C508" s="27" t="s">
        <v>541</v>
      </c>
      <c r="D508" s="27" t="s">
        <v>554</v>
      </c>
      <c r="E508" s="27">
        <v>2022</v>
      </c>
      <c r="F508" s="28">
        <v>9.9</v>
      </c>
      <c r="G508" s="27">
        <v>4.9000000000000004</v>
      </c>
      <c r="H508" s="28">
        <v>5.2</v>
      </c>
      <c r="I508" s="28">
        <v>1.1000000000000001</v>
      </c>
      <c r="J508" s="28">
        <v>9.6</v>
      </c>
      <c r="K508" s="27" t="s">
        <v>571</v>
      </c>
      <c r="L508" s="27">
        <v>5</v>
      </c>
      <c r="M508" s="27">
        <v>5.68</v>
      </c>
      <c r="N508" s="1" t="s">
        <v>592</v>
      </c>
      <c r="O508" s="27">
        <v>49753.31</v>
      </c>
    </row>
    <row r="509" spans="1:15">
      <c r="A509" s="27" t="s">
        <v>289</v>
      </c>
      <c r="B509" s="27">
        <v>47</v>
      </c>
      <c r="C509" s="27" t="s">
        <v>542</v>
      </c>
      <c r="D509" s="27" t="s">
        <v>556</v>
      </c>
      <c r="E509" s="27">
        <v>2024</v>
      </c>
      <c r="F509" s="28">
        <v>1.9</v>
      </c>
      <c r="G509" s="27">
        <v>9.9</v>
      </c>
      <c r="H509" s="28">
        <v>7.8</v>
      </c>
      <c r="I509" s="28">
        <v>0</v>
      </c>
      <c r="J509" s="28">
        <v>9.3000000000000007</v>
      </c>
      <c r="K509" s="27" t="s">
        <v>578</v>
      </c>
      <c r="L509" s="27">
        <v>6</v>
      </c>
      <c r="M509" s="27">
        <v>5.46</v>
      </c>
      <c r="N509" s="1" t="s">
        <v>592</v>
      </c>
      <c r="O509" s="27">
        <v>25364.95</v>
      </c>
    </row>
    <row r="510" spans="1:15">
      <c r="A510" s="27" t="s">
        <v>114</v>
      </c>
      <c r="B510" s="27">
        <v>59</v>
      </c>
      <c r="C510" s="27" t="s">
        <v>541</v>
      </c>
      <c r="D510" s="27" t="s">
        <v>552</v>
      </c>
      <c r="E510" s="27">
        <v>2024</v>
      </c>
      <c r="F510" s="28">
        <v>2.6</v>
      </c>
      <c r="G510" s="27">
        <v>0.2</v>
      </c>
      <c r="H510" s="28">
        <v>4.0999999999999996</v>
      </c>
      <c r="I510" s="28">
        <v>3.6500000000000004</v>
      </c>
      <c r="J510" s="28">
        <v>3.5</v>
      </c>
      <c r="K510" s="27" t="s">
        <v>574</v>
      </c>
      <c r="L510" s="27">
        <v>10</v>
      </c>
      <c r="M510" s="27">
        <v>1.65</v>
      </c>
      <c r="N510" s="1" t="s">
        <v>593</v>
      </c>
      <c r="O510" s="27">
        <v>97082.27</v>
      </c>
    </row>
    <row r="511" spans="1:15">
      <c r="A511" s="27" t="s">
        <v>514</v>
      </c>
      <c r="B511" s="27">
        <v>82</v>
      </c>
      <c r="C511" s="27" t="s">
        <v>543</v>
      </c>
      <c r="D511" s="27" t="s">
        <v>555</v>
      </c>
      <c r="E511" s="27">
        <v>2024</v>
      </c>
      <c r="F511" s="28">
        <v>1.4</v>
      </c>
      <c r="G511" s="27">
        <v>2.7</v>
      </c>
      <c r="H511" s="28">
        <v>0.8</v>
      </c>
      <c r="I511" s="28">
        <v>1.7</v>
      </c>
      <c r="J511" s="28">
        <v>6.5</v>
      </c>
      <c r="K511" s="27" t="s">
        <v>579</v>
      </c>
      <c r="L511" s="27">
        <v>7</v>
      </c>
      <c r="M511" s="27">
        <v>2.34</v>
      </c>
      <c r="N511" s="1" t="s">
        <v>594</v>
      </c>
      <c r="O511" s="27">
        <v>72662.36</v>
      </c>
    </row>
    <row r="512" spans="1:15">
      <c r="A512" s="27" t="s">
        <v>106</v>
      </c>
      <c r="B512" s="27">
        <v>87</v>
      </c>
      <c r="C512" s="27" t="s">
        <v>543</v>
      </c>
      <c r="D512" s="27" t="s">
        <v>672</v>
      </c>
      <c r="E512" s="27">
        <v>2023</v>
      </c>
      <c r="F512" s="28">
        <v>2.4</v>
      </c>
      <c r="G512" s="27">
        <v>3.1</v>
      </c>
      <c r="H512" s="28">
        <v>7.7</v>
      </c>
      <c r="I512" s="28">
        <v>4.7222222222222223</v>
      </c>
      <c r="J512" s="28">
        <v>6.9</v>
      </c>
      <c r="K512" s="27" t="s">
        <v>574</v>
      </c>
      <c r="L512" s="27">
        <v>6</v>
      </c>
      <c r="M512" s="27">
        <v>5</v>
      </c>
      <c r="N512" s="1" t="s">
        <v>592</v>
      </c>
      <c r="O512" s="27">
        <v>35406.300000000003</v>
      </c>
    </row>
    <row r="513" spans="1:15">
      <c r="A513" s="27" t="s">
        <v>316</v>
      </c>
      <c r="B513" s="27">
        <v>73</v>
      </c>
      <c r="C513" s="27" t="s">
        <v>543</v>
      </c>
      <c r="D513" s="27" t="s">
        <v>556</v>
      </c>
      <c r="E513" s="27">
        <v>2023</v>
      </c>
      <c r="F513" s="28">
        <v>7.9</v>
      </c>
      <c r="G513" s="27">
        <v>0</v>
      </c>
      <c r="H513" s="28">
        <v>8</v>
      </c>
      <c r="I513" s="28">
        <v>6.2</v>
      </c>
      <c r="J513" s="28">
        <v>7.7</v>
      </c>
      <c r="K513" s="27" t="s">
        <v>578</v>
      </c>
      <c r="L513" s="27">
        <v>6</v>
      </c>
      <c r="M513" s="27">
        <v>5.3</v>
      </c>
      <c r="N513" s="1" t="s">
        <v>592</v>
      </c>
      <c r="O513" s="27">
        <v>74418.67</v>
      </c>
    </row>
    <row r="514" spans="1:15">
      <c r="A514" s="27" t="s">
        <v>376</v>
      </c>
      <c r="B514" s="27">
        <v>41</v>
      </c>
      <c r="C514" s="27" t="s">
        <v>543</v>
      </c>
      <c r="D514" s="27" t="s">
        <v>550</v>
      </c>
      <c r="E514" s="27">
        <v>2023</v>
      </c>
      <c r="F514" s="28">
        <v>5</v>
      </c>
      <c r="G514" s="27">
        <v>1.8</v>
      </c>
      <c r="H514" s="28">
        <v>0.3</v>
      </c>
      <c r="I514" s="28">
        <v>7.9</v>
      </c>
      <c r="J514" s="28">
        <v>0.1</v>
      </c>
      <c r="K514" s="27" t="s">
        <v>570</v>
      </c>
      <c r="L514" s="27">
        <v>5</v>
      </c>
      <c r="M514" s="27">
        <v>4.21</v>
      </c>
      <c r="N514" s="1" t="s">
        <v>592</v>
      </c>
      <c r="O514" s="27">
        <v>34663.19</v>
      </c>
    </row>
    <row r="515" spans="1:15">
      <c r="A515" s="27" t="s">
        <v>367</v>
      </c>
      <c r="B515" s="27">
        <v>58</v>
      </c>
      <c r="C515" s="27" t="s">
        <v>542</v>
      </c>
      <c r="D515" s="27" t="s">
        <v>551</v>
      </c>
      <c r="E515" s="27">
        <v>2022</v>
      </c>
      <c r="F515" s="28">
        <v>5.2</v>
      </c>
      <c r="G515" s="27">
        <v>3</v>
      </c>
      <c r="H515" s="28">
        <v>2.8</v>
      </c>
      <c r="I515" s="28">
        <v>0.5</v>
      </c>
      <c r="J515" s="28">
        <v>6.1</v>
      </c>
      <c r="K515" s="27" t="s">
        <v>574</v>
      </c>
      <c r="L515" s="27">
        <v>8</v>
      </c>
      <c r="M515" s="27">
        <v>3.11</v>
      </c>
      <c r="N515" s="1" t="s">
        <v>594</v>
      </c>
      <c r="O515" s="27">
        <v>75295.27</v>
      </c>
    </row>
    <row r="516" spans="1:15">
      <c r="A516" s="27" t="s">
        <v>65</v>
      </c>
      <c r="B516" s="27">
        <v>41</v>
      </c>
      <c r="C516" s="27" t="s">
        <v>541</v>
      </c>
      <c r="D516" s="27" t="s">
        <v>672</v>
      </c>
      <c r="E516" s="27">
        <v>2023</v>
      </c>
      <c r="F516" s="28">
        <v>2.4</v>
      </c>
      <c r="G516" s="27">
        <v>5.7</v>
      </c>
      <c r="H516" s="28">
        <v>0.7</v>
      </c>
      <c r="I516" s="28">
        <v>0</v>
      </c>
      <c r="J516" s="28">
        <v>1.1000000000000001</v>
      </c>
      <c r="K516" s="27" t="s">
        <v>574</v>
      </c>
      <c r="L516" s="27">
        <v>8</v>
      </c>
      <c r="M516" s="27">
        <v>2.17</v>
      </c>
      <c r="N516" s="1" t="s">
        <v>594</v>
      </c>
      <c r="O516" s="27">
        <v>69244.44</v>
      </c>
    </row>
    <row r="517" spans="1:15">
      <c r="A517" s="27" t="s">
        <v>64</v>
      </c>
      <c r="B517" s="27">
        <v>46</v>
      </c>
      <c r="C517" s="27" t="s">
        <v>541</v>
      </c>
      <c r="D517" s="27" t="s">
        <v>555</v>
      </c>
      <c r="E517" s="27">
        <v>2022</v>
      </c>
      <c r="F517" s="28">
        <v>6.3</v>
      </c>
      <c r="G517" s="27">
        <v>0.3</v>
      </c>
      <c r="H517" s="28">
        <v>4.2</v>
      </c>
      <c r="I517" s="28">
        <v>7.9</v>
      </c>
      <c r="J517" s="28">
        <v>8.3000000000000007</v>
      </c>
      <c r="K517" s="27" t="s">
        <v>576</v>
      </c>
      <c r="L517" s="27">
        <v>6</v>
      </c>
      <c r="M517" s="27">
        <v>5.13</v>
      </c>
      <c r="N517" s="1" t="s">
        <v>592</v>
      </c>
      <c r="O517" s="27">
        <v>60523.31</v>
      </c>
    </row>
    <row r="518" spans="1:15">
      <c r="A518" s="27" t="s">
        <v>216</v>
      </c>
      <c r="B518" s="27">
        <v>25</v>
      </c>
      <c r="C518" s="27" t="s">
        <v>543</v>
      </c>
      <c r="D518" s="27" t="s">
        <v>645</v>
      </c>
      <c r="E518" s="27">
        <v>2023</v>
      </c>
      <c r="F518" s="28">
        <v>9.6999999999999993</v>
      </c>
      <c r="G518" s="27">
        <v>7.9</v>
      </c>
      <c r="H518" s="28">
        <v>1.6</v>
      </c>
      <c r="I518" s="28">
        <v>8.6999999999999993</v>
      </c>
      <c r="J518" s="28">
        <v>6.3</v>
      </c>
      <c r="K518" s="27" t="s">
        <v>546</v>
      </c>
      <c r="L518" s="27">
        <v>4</v>
      </c>
      <c r="M518" s="27">
        <v>6.2</v>
      </c>
      <c r="N518" s="1" t="s">
        <v>590</v>
      </c>
      <c r="O518" s="27">
        <v>76977.31</v>
      </c>
    </row>
    <row r="519" spans="1:15">
      <c r="A519" s="27" t="s">
        <v>197</v>
      </c>
      <c r="B519" s="27">
        <v>76</v>
      </c>
      <c r="C519" s="27" t="s">
        <v>541</v>
      </c>
      <c r="D519" s="27" t="s">
        <v>550</v>
      </c>
      <c r="E519" s="27">
        <v>2024</v>
      </c>
      <c r="F519" s="28">
        <v>2.9</v>
      </c>
      <c r="G519" s="27">
        <v>9.6999999999999993</v>
      </c>
      <c r="H519" s="28">
        <v>5.9</v>
      </c>
      <c r="I519" s="28">
        <v>4.3</v>
      </c>
      <c r="J519" s="28">
        <v>8.5</v>
      </c>
      <c r="K519" s="27" t="s">
        <v>573</v>
      </c>
      <c r="L519" s="27">
        <v>6</v>
      </c>
      <c r="M519" s="27">
        <v>5.77</v>
      </c>
      <c r="N519" s="1" t="s">
        <v>592</v>
      </c>
      <c r="O519" s="27">
        <v>43116.02</v>
      </c>
    </row>
    <row r="520" spans="1:15">
      <c r="A520" s="27" t="s">
        <v>22</v>
      </c>
      <c r="B520" s="27">
        <v>47</v>
      </c>
      <c r="C520" s="27" t="s">
        <v>543</v>
      </c>
      <c r="D520" s="27" t="s">
        <v>552</v>
      </c>
      <c r="E520" s="27">
        <v>2024</v>
      </c>
      <c r="F520" s="28">
        <v>3.9</v>
      </c>
      <c r="G520" s="27">
        <v>7.2</v>
      </c>
      <c r="H520" s="28">
        <v>3.4</v>
      </c>
      <c r="I520" s="28">
        <v>7</v>
      </c>
      <c r="J520" s="28">
        <v>4.5999999999999996</v>
      </c>
      <c r="K520" s="27" t="s">
        <v>576</v>
      </c>
      <c r="L520" s="27">
        <v>5</v>
      </c>
      <c r="M520" s="27">
        <v>4.8499999999999996</v>
      </c>
      <c r="N520" s="1" t="s">
        <v>592</v>
      </c>
      <c r="O520" s="27">
        <v>68837.740000000005</v>
      </c>
    </row>
    <row r="521" spans="1:15">
      <c r="A521" s="27" t="s">
        <v>431</v>
      </c>
      <c r="B521" s="27">
        <v>58</v>
      </c>
      <c r="C521" s="27" t="s">
        <v>541</v>
      </c>
      <c r="D521" s="27" t="s">
        <v>549</v>
      </c>
      <c r="E521" s="27">
        <v>2023</v>
      </c>
      <c r="F521" s="28">
        <v>4</v>
      </c>
      <c r="G521" s="27">
        <v>5.8</v>
      </c>
      <c r="H521" s="28">
        <v>4.7</v>
      </c>
      <c r="I521" s="28">
        <v>1.2</v>
      </c>
      <c r="J521" s="28">
        <v>6.7</v>
      </c>
      <c r="K521" s="27" t="s">
        <v>570</v>
      </c>
      <c r="L521" s="27">
        <v>5</v>
      </c>
      <c r="M521" s="27">
        <v>4.3099999999999996</v>
      </c>
      <c r="N521" s="1" t="s">
        <v>592</v>
      </c>
      <c r="O521" s="27">
        <v>48537.42</v>
      </c>
    </row>
    <row r="522" spans="1:15">
      <c r="A522" s="27" t="s">
        <v>226</v>
      </c>
      <c r="B522" s="27">
        <v>68</v>
      </c>
      <c r="C522" s="27" t="s">
        <v>542</v>
      </c>
      <c r="D522" s="27" t="s">
        <v>550</v>
      </c>
      <c r="E522" s="27">
        <v>2024</v>
      </c>
      <c r="F522" s="28">
        <v>6.1</v>
      </c>
      <c r="G522" s="27">
        <v>5.0999999999999996</v>
      </c>
      <c r="H522" s="28">
        <v>0.5</v>
      </c>
      <c r="I522" s="28">
        <v>1.9</v>
      </c>
      <c r="J522" s="28">
        <v>1.6</v>
      </c>
      <c r="K522" s="27" t="s">
        <v>574</v>
      </c>
      <c r="L522" s="27">
        <v>8</v>
      </c>
      <c r="M522" s="27">
        <v>2.73</v>
      </c>
      <c r="N522" s="1" t="s">
        <v>594</v>
      </c>
      <c r="O522" s="27">
        <v>93441.9</v>
      </c>
    </row>
    <row r="523" spans="1:15">
      <c r="A523" s="27" t="s">
        <v>92</v>
      </c>
      <c r="B523" s="27">
        <v>48</v>
      </c>
      <c r="C523" s="27" t="s">
        <v>543</v>
      </c>
      <c r="D523" s="27" t="s">
        <v>672</v>
      </c>
      <c r="E523" s="27">
        <v>2022</v>
      </c>
      <c r="F523" s="28">
        <v>1.3</v>
      </c>
      <c r="G523" s="27">
        <v>0.7</v>
      </c>
      <c r="H523" s="28">
        <v>9.3000000000000007</v>
      </c>
      <c r="I523" s="28">
        <v>9.5</v>
      </c>
      <c r="J523" s="28">
        <v>5</v>
      </c>
      <c r="K523" s="27" t="s">
        <v>570</v>
      </c>
      <c r="L523" s="27">
        <v>5</v>
      </c>
      <c r="M523" s="27">
        <v>5.85</v>
      </c>
      <c r="N523" s="1" t="s">
        <v>592</v>
      </c>
      <c r="O523" s="27">
        <v>15466.94</v>
      </c>
    </row>
    <row r="524" spans="1:15">
      <c r="A524" s="27" t="s">
        <v>36</v>
      </c>
      <c r="B524" s="27">
        <v>20</v>
      </c>
      <c r="C524" s="27" t="s">
        <v>542</v>
      </c>
      <c r="D524" s="27" t="s">
        <v>551</v>
      </c>
      <c r="E524" s="27">
        <v>2023</v>
      </c>
      <c r="F524" s="28">
        <v>4.8</v>
      </c>
      <c r="G524" s="27">
        <v>9.4</v>
      </c>
      <c r="H524" s="28">
        <v>0.9</v>
      </c>
      <c r="I524" s="28">
        <v>0.9</v>
      </c>
      <c r="J524" s="28">
        <v>2</v>
      </c>
      <c r="K524" s="27" t="s">
        <v>572</v>
      </c>
      <c r="L524" s="27">
        <v>8</v>
      </c>
      <c r="M524" s="27">
        <v>3.67</v>
      </c>
      <c r="N524" s="1" t="s">
        <v>594</v>
      </c>
      <c r="O524" s="27">
        <v>60587.18</v>
      </c>
    </row>
    <row r="525" spans="1:15">
      <c r="A525" s="27" t="s">
        <v>507</v>
      </c>
      <c r="B525" s="27">
        <v>63</v>
      </c>
      <c r="C525" s="27" t="s">
        <v>542</v>
      </c>
      <c r="D525" s="27" t="s">
        <v>645</v>
      </c>
      <c r="E525" s="27">
        <v>2024</v>
      </c>
      <c r="F525" s="28">
        <v>3.9666666666666668</v>
      </c>
      <c r="G525" s="27">
        <v>6.5</v>
      </c>
      <c r="H525" s="28">
        <v>6.7</v>
      </c>
      <c r="I525" s="28">
        <v>0.8</v>
      </c>
      <c r="J525" s="28">
        <v>5.7</v>
      </c>
      <c r="K525" s="27" t="s">
        <v>573</v>
      </c>
      <c r="L525" s="27">
        <v>7</v>
      </c>
      <c r="M525" s="27">
        <v>3.4</v>
      </c>
      <c r="N525" s="1" t="s">
        <v>594</v>
      </c>
      <c r="O525" s="27">
        <v>75411.67</v>
      </c>
    </row>
    <row r="526" spans="1:15">
      <c r="A526" s="27" t="s">
        <v>81</v>
      </c>
      <c r="B526" s="27">
        <v>85</v>
      </c>
      <c r="C526" s="27" t="s">
        <v>541</v>
      </c>
      <c r="D526" s="27" t="s">
        <v>552</v>
      </c>
      <c r="E526" s="27">
        <v>2023</v>
      </c>
      <c r="F526" s="28">
        <v>9.9</v>
      </c>
      <c r="G526" s="27">
        <v>9.1</v>
      </c>
      <c r="H526" s="28">
        <v>4.9000000000000004</v>
      </c>
      <c r="I526" s="28">
        <v>5.3</v>
      </c>
      <c r="J526" s="28">
        <v>9.3000000000000007</v>
      </c>
      <c r="K526" s="27" t="s">
        <v>576</v>
      </c>
      <c r="L526" s="27">
        <v>4</v>
      </c>
      <c r="M526" s="27">
        <v>6.48</v>
      </c>
      <c r="N526" s="1" t="s">
        <v>590</v>
      </c>
      <c r="O526" s="27">
        <v>79569.61</v>
      </c>
    </row>
    <row r="527" spans="1:15">
      <c r="A527" s="27" t="s">
        <v>32</v>
      </c>
      <c r="B527" s="27">
        <v>77</v>
      </c>
      <c r="C527" s="27" t="s">
        <v>546</v>
      </c>
      <c r="D527" s="27" t="s">
        <v>549</v>
      </c>
      <c r="E527" s="27">
        <v>2023</v>
      </c>
      <c r="F527" s="28">
        <v>4.5999999999999996</v>
      </c>
      <c r="G527" s="27">
        <v>5.5</v>
      </c>
      <c r="H527" s="28">
        <v>4.3</v>
      </c>
      <c r="I527" s="28">
        <v>3.2</v>
      </c>
      <c r="J527" s="28">
        <v>1.3</v>
      </c>
      <c r="K527" s="27" t="s">
        <v>576</v>
      </c>
      <c r="L527" s="27">
        <v>5</v>
      </c>
      <c r="M527" s="27">
        <v>4.78</v>
      </c>
      <c r="N527" s="1" t="s">
        <v>592</v>
      </c>
      <c r="O527" s="27">
        <v>19140.37</v>
      </c>
    </row>
    <row r="528" spans="1:15">
      <c r="A528" s="27" t="s">
        <v>129</v>
      </c>
      <c r="B528" s="27">
        <v>39</v>
      </c>
      <c r="C528" s="27" t="s">
        <v>542</v>
      </c>
      <c r="D528" s="27" t="s">
        <v>549</v>
      </c>
      <c r="E528" s="27">
        <v>2023</v>
      </c>
      <c r="F528" s="28">
        <v>3.4</v>
      </c>
      <c r="G528" s="27">
        <v>6.7</v>
      </c>
      <c r="H528" s="28">
        <v>0.7</v>
      </c>
      <c r="I528" s="28">
        <v>9.1</v>
      </c>
      <c r="J528" s="28">
        <v>3.7</v>
      </c>
      <c r="K528" s="27" t="s">
        <v>570</v>
      </c>
      <c r="L528" s="27">
        <v>6</v>
      </c>
      <c r="M528" s="27">
        <v>4.3899999999999997</v>
      </c>
      <c r="N528" s="1" t="s">
        <v>592</v>
      </c>
      <c r="O528" s="27">
        <v>79379.509999999995</v>
      </c>
    </row>
    <row r="529" spans="1:15">
      <c r="A529" s="27" t="s">
        <v>255</v>
      </c>
      <c r="B529" s="27">
        <v>41</v>
      </c>
      <c r="C529" s="27" t="s">
        <v>541</v>
      </c>
      <c r="D529" s="27" t="s">
        <v>555</v>
      </c>
      <c r="E529" s="27">
        <v>2022</v>
      </c>
      <c r="F529" s="28">
        <v>2.9</v>
      </c>
      <c r="G529" s="27">
        <v>0</v>
      </c>
      <c r="H529" s="28">
        <v>2.2999999999999998</v>
      </c>
      <c r="I529" s="28">
        <v>3.9</v>
      </c>
      <c r="J529" s="28">
        <v>10</v>
      </c>
      <c r="K529" s="27" t="s">
        <v>578</v>
      </c>
      <c r="L529" s="27">
        <v>7</v>
      </c>
      <c r="M529" s="27">
        <v>3.61</v>
      </c>
      <c r="N529" s="1" t="s">
        <v>594</v>
      </c>
      <c r="O529" s="27">
        <v>54800.22</v>
      </c>
    </row>
    <row r="530" spans="1:15">
      <c r="A530" s="27" t="s">
        <v>297</v>
      </c>
      <c r="B530" s="27">
        <v>89</v>
      </c>
      <c r="C530" s="27" t="s">
        <v>546</v>
      </c>
      <c r="D530" s="27" t="s">
        <v>556</v>
      </c>
      <c r="E530" s="27">
        <v>2022</v>
      </c>
      <c r="F530" s="28">
        <v>3.2</v>
      </c>
      <c r="G530" s="27">
        <v>6.3</v>
      </c>
      <c r="H530" s="28">
        <v>4.7</v>
      </c>
      <c r="I530" s="28">
        <v>5.0999999999999996</v>
      </c>
      <c r="J530" s="28">
        <v>8.1999999999999993</v>
      </c>
      <c r="K530" s="27" t="s">
        <v>579</v>
      </c>
      <c r="L530" s="27">
        <v>6</v>
      </c>
      <c r="M530" s="27">
        <v>4.24</v>
      </c>
      <c r="N530" s="1" t="s">
        <v>592</v>
      </c>
      <c r="O530" s="27">
        <v>94633.12</v>
      </c>
    </row>
    <row r="531" spans="1:15">
      <c r="A531" s="27" t="s">
        <v>195</v>
      </c>
      <c r="B531" s="27">
        <v>24</v>
      </c>
      <c r="C531" s="27" t="s">
        <v>541</v>
      </c>
      <c r="D531" s="27" t="s">
        <v>554</v>
      </c>
      <c r="E531" s="27">
        <v>2024</v>
      </c>
      <c r="F531" s="28">
        <v>0.8</v>
      </c>
      <c r="G531" s="27">
        <v>8.4</v>
      </c>
      <c r="H531" s="28">
        <v>5.3</v>
      </c>
      <c r="I531" s="28">
        <v>6.2</v>
      </c>
      <c r="J531" s="28">
        <v>4.2</v>
      </c>
      <c r="K531" s="27" t="s">
        <v>579</v>
      </c>
      <c r="L531" s="27">
        <v>6</v>
      </c>
      <c r="M531" s="27">
        <v>5.6</v>
      </c>
      <c r="N531" s="1" t="s">
        <v>592</v>
      </c>
      <c r="O531" s="27">
        <v>13929.79</v>
      </c>
    </row>
    <row r="532" spans="1:15">
      <c r="A532" s="27" t="s">
        <v>131</v>
      </c>
      <c r="B532" s="27">
        <v>67</v>
      </c>
      <c r="C532" s="27" t="s">
        <v>543</v>
      </c>
      <c r="D532" s="27" t="s">
        <v>549</v>
      </c>
      <c r="E532" s="27">
        <v>2022</v>
      </c>
      <c r="F532" s="28">
        <v>1.6</v>
      </c>
      <c r="G532" s="27">
        <v>5.6</v>
      </c>
      <c r="H532" s="28">
        <v>4.7</v>
      </c>
      <c r="I532" s="28">
        <v>3.3</v>
      </c>
      <c r="J532" s="28">
        <v>4.9000000000000004</v>
      </c>
      <c r="K532" s="27" t="s">
        <v>570</v>
      </c>
      <c r="L532" s="27">
        <v>8</v>
      </c>
      <c r="M532" s="27">
        <v>3.14</v>
      </c>
      <c r="N532" s="1" t="s">
        <v>594</v>
      </c>
      <c r="O532" s="27">
        <v>93848.98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DATASET</vt:lpstr>
      <vt:lpstr>PIVOT TABLE</vt:lpstr>
      <vt:lpstr>CLEANED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Monika S</cp:lastModifiedBy>
  <dcterms:created xsi:type="dcterms:W3CDTF">2026-05-27T11:33:57Z</dcterms:created>
  <dcterms:modified xsi:type="dcterms:W3CDTF">2026-05-31T10:27:07Z</dcterms:modified>
</cp:coreProperties>
</file>